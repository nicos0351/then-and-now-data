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treets" sheetId="2" state="visible" r:id="rId4"/>
    <sheet name="Sources" sheetId="3" state="visible" r:id="rId5"/>
  </sheets>
  <definedNames>
    <definedName function="false" hidden="true" localSheetId="1" name="_xlnm._FilterDatabase" vbProcedure="false">Streets!$A$1:$M$255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Keep = clear rename in the map data. Add = officially announced but missing from the map data. Check = plausible, confirm first. Drop = mapping detail or minor change.</t>
        </r>
      </text>
    </comment>
    <comment ref="F1" authorId="0">
      <text>
        <r>
          <rPr>
            <sz val="10"/>
            <rFont val="Arial"/>
            <family val="2"/>
          </rPr>
          <t xml:space="preserve">Fill in: Keep, Drop or Unsure. Blank means not reviewed yet.</t>
        </r>
      </text>
    </comment>
    <comment ref="K1" authorId="0">
      <text>
        <r>
          <rPr>
            <sz val="10"/>
            <rFont val="Arial"/>
            <family val="2"/>
          </rPr>
          <t xml:space="preserve">How many OpenStreetMap pieces carry this rename; a rough guide to how long the road is.</t>
        </r>
      </text>
    </comment>
  </commentList>
</comments>
</file>

<file path=xl/sharedStrings.xml><?xml version="1.0" encoding="utf-8"?>
<sst xmlns="http://schemas.openxmlformats.org/spreadsheetml/2006/main" count="2147" uniqueCount="619">
  <si>
    <t xml:space="preserve">Street names add-on: renamed streets for review</t>
  </si>
  <si>
    <t xml:space="preserve">Prepared 19 October 2026 from OpenStreetMap and official municipal announcements.</t>
  </si>
  <si>
    <t xml:space="preserve">How to review</t>
  </si>
  <si>
    <t xml:space="preserve">•  On the Streets tab, fill in the yellow 'Founder decision' column with Keep, Drop or Unsure (pick from the list).</t>
  </si>
  <si>
    <t xml:space="preserve">•  'Suggested' is Claude's first sort: Keep, Add (announced but missing from the map data), Check (confirm first), Drop.</t>
  </si>
  <si>
    <t xml:space="preserve">•  'Open map' shows where the street is, so you can see the street's current name on the map.</t>
  </si>
  <si>
    <t xml:space="preserve">•  Example: Durban | West Street | Doctor Pixley Kaseme Street | Suggested Keep | Founder decision Keep.</t>
  </si>
  <si>
    <t xml:space="preserve">•  The table below updates as decisions are filled in.</t>
  </si>
  <si>
    <t xml:space="preserve">By area</t>
  </si>
  <si>
    <t xml:space="preserve">Area</t>
  </si>
  <si>
    <t xml:space="preserve">Keep</t>
  </si>
  <si>
    <t xml:space="preserve">Add</t>
  </si>
  <si>
    <t xml:space="preserve">Check</t>
  </si>
  <si>
    <t xml:space="preserve">Drop</t>
  </si>
  <si>
    <t xml:space="preserve">Founders: Keep</t>
  </si>
  <si>
    <t xml:space="preserve">Not reviewed</t>
  </si>
  <si>
    <t xml:space="preserve">Durban (eThekwini)</t>
  </si>
  <si>
    <t xml:space="preserve">Pretoria (Tshwane)</t>
  </si>
  <si>
    <t xml:space="preserve">Ekurhuleni (East Rand)</t>
  </si>
  <si>
    <t xml:space="preserve">Pietermaritzburg (Msunduzi)</t>
  </si>
  <si>
    <t xml:space="preserve">Johannesburg</t>
  </si>
  <si>
    <t xml:space="preserve">Cape Town</t>
  </si>
  <si>
    <t xml:space="preserve">Potchefstroom</t>
  </si>
  <si>
    <t xml:space="preserve">Gqeberha (Nelson Mandela Bay)</t>
  </si>
  <si>
    <t xml:space="preserve">Modimolle</t>
  </si>
  <si>
    <t xml:space="preserve">KwaDukuza</t>
  </si>
  <si>
    <t xml:space="preserve">Bethal</t>
  </si>
  <si>
    <t xml:space="preserve">Bloemfontein (Mangaung)</t>
  </si>
  <si>
    <t xml:space="preserve">George</t>
  </si>
  <si>
    <t xml:space="preserve">Middelburg</t>
  </si>
  <si>
    <t xml:space="preserve">Nxuba</t>
  </si>
  <si>
    <t xml:space="preserve">Volksrust</t>
  </si>
  <si>
    <t xml:space="preserve">East London (Buffalo City)</t>
  </si>
  <si>
    <t xml:space="preserve">Emgwenya</t>
  </si>
  <si>
    <t xml:space="preserve">Greytown</t>
  </si>
  <si>
    <t xml:space="preserve">Harrismith</t>
  </si>
  <si>
    <t xml:space="preserve">Heidelberg</t>
  </si>
  <si>
    <t xml:space="preserve">Knysna</t>
  </si>
  <si>
    <t xml:space="preserve">Mmabatho</t>
  </si>
  <si>
    <t xml:space="preserve">Sanddrif</t>
  </si>
  <si>
    <t xml:space="preserve">Vanderbijlpark</t>
  </si>
  <si>
    <t xml:space="preserve">Worcester</t>
  </si>
  <si>
    <t xml:space="preserve">Zastron</t>
  </si>
  <si>
    <t xml:space="preserve">Total</t>
  </si>
  <si>
    <t xml:space="preserve">What the research found</t>
  </si>
  <si>
    <t xml:space="preserve">•  OpenStreetMap has 5,087 South African street pieces tagged with an old name. Merged, they give 217 old/new pairs; 160 are clear renames.</t>
  </si>
  <si>
    <t xml:space="preserve">•  Durban (64), Pretoria (29), Pietermaritzburg (18), Cape Town (14) and Potchefstroom (11) have enough to make the add-on worthwhile.</t>
  </si>
  <si>
    <t xml:space="preserve">•  Pretoria matches the city's official 2012 list well: 26 of 28 lines are in the map data; the other 2 are added by hand.</t>
  </si>
  <si>
    <t xml:space="preserve">•  Johannesburg's 2014-15 inner-city renames (Bree, Jeppe, President, Noord, Sauer) are missing from the map data and are added by hand.</t>
  </si>
  <si>
    <t xml:space="preserve">•  Ekurhuleni's 44 renames (approved 2019) are almost all missing; 29 with a clear old street name are added by hand. Their positions must be set by hand.</t>
  </si>
  <si>
    <t xml:space="preserve">•  In 2011 a court reversed 9 of Durban's first-phase renames. The map data follows the current signs, but this is worth a check.</t>
  </si>
  <si>
    <t xml:space="preserve">•  Polokwane, Mbombela and most small towns: no street renames found (they were renamed as towns only).</t>
  </si>
  <si>
    <t xml:space="preserve">•  Map data © OpenStreetMap contributors (ODbL): the app must credit OpenStreetMap wherever these street names appear.</t>
  </si>
  <si>
    <t xml:space="preserve">Town / suburb</t>
  </si>
  <si>
    <t xml:space="preserve">Old name</t>
  </si>
  <si>
    <t xml:space="preserve">New name</t>
  </si>
  <si>
    <t xml:space="preserve">Suggested</t>
  </si>
  <si>
    <t xml:space="preserve">Founder decision</t>
  </si>
  <si>
    <t xml:space="preserve">Notes</t>
  </si>
  <si>
    <t xml:space="preserve">Source</t>
  </si>
  <si>
    <t xml:space="preserve">Latitude</t>
  </si>
  <si>
    <t xml:space="preserve">Longitude</t>
  </si>
  <si>
    <t xml:space="preserve">Map segments</t>
  </si>
  <si>
    <t xml:space="preserve">Road type</t>
  </si>
  <si>
    <t xml:space="preserve">See on map</t>
  </si>
  <si>
    <t xml:space="preserve">Church Street</t>
  </si>
  <si>
    <t xml:space="preserve">Jabulani Selepe Street</t>
  </si>
  <si>
    <t xml:space="preserve">OpenStreetMap</t>
  </si>
  <si>
    <t xml:space="preserve">tertiary</t>
  </si>
  <si>
    <t xml:space="preserve">Open map</t>
  </si>
  <si>
    <t xml:space="preserve">Bloemfontein</t>
  </si>
  <si>
    <t xml:space="preserve">Andries Pretorius Street</t>
  </si>
  <si>
    <t xml:space="preserve">Raymond Mhlaba Street</t>
  </si>
  <si>
    <t xml:space="preserve">primary</t>
  </si>
  <si>
    <t xml:space="preserve">Haldon Road</t>
  </si>
  <si>
    <t xml:space="preserve">Walter Sisulu Road</t>
  </si>
  <si>
    <t xml:space="preserve">Confirm with Mangaung</t>
  </si>
  <si>
    <t xml:space="preserve">trunk</t>
  </si>
  <si>
    <t xml:space="preserve">Bell Street</t>
  </si>
  <si>
    <t xml:space="preserve">Mapping detail: only a short joining segment</t>
  </si>
  <si>
    <t xml:space="preserve">residential</t>
  </si>
  <si>
    <t xml:space="preserve">Pasteur Drive</t>
  </si>
  <si>
    <t xml:space="preserve">Van Rippen Crescent</t>
  </si>
  <si>
    <t xml:space="preserve">Small local change</t>
  </si>
  <si>
    <t xml:space="preserve">Oswald Pirow Street</t>
  </si>
  <si>
    <t xml:space="preserve">Christiaan Barnard Street</t>
  </si>
  <si>
    <t xml:space="preserve">secondary</t>
  </si>
  <si>
    <t xml:space="preserve">Table Bay Boulevard</t>
  </si>
  <si>
    <t xml:space="preserve">F.W. de Klerk Boulevard</t>
  </si>
  <si>
    <t xml:space="preserve">motorway</t>
  </si>
  <si>
    <t xml:space="preserve">Lansdowne</t>
  </si>
  <si>
    <t xml:space="preserve">Lansdowne Road</t>
  </si>
  <si>
    <t xml:space="preserve">Govan Mbeki Road</t>
  </si>
  <si>
    <t xml:space="preserve">Keizersgracht</t>
  </si>
  <si>
    <t xml:space="preserve">Hanover Street</t>
  </si>
  <si>
    <t xml:space="preserve">Also mapped as: Keizersgracht Road</t>
  </si>
  <si>
    <t xml:space="preserve">Western Boulevard</t>
  </si>
  <si>
    <t xml:space="preserve">Helen Suzman Boulevard</t>
  </si>
  <si>
    <t xml:space="preserve">Claremont</t>
  </si>
  <si>
    <t xml:space="preserve">Imam Haron Road</t>
  </si>
  <si>
    <t xml:space="preserve">Athlone</t>
  </si>
  <si>
    <t xml:space="preserve">Vanguard Drive</t>
  </si>
  <si>
    <t xml:space="preserve">Jakes Gerwel Drive</t>
  </si>
  <si>
    <t xml:space="preserve">Kuils River</t>
  </si>
  <si>
    <t xml:space="preserve">Japhta K. Masemola Road</t>
  </si>
  <si>
    <t xml:space="preserve">Washington Drive</t>
  </si>
  <si>
    <t xml:space="preserve">King Langalibalele Drive</t>
  </si>
  <si>
    <t xml:space="preserve">Eastern Boulevard</t>
  </si>
  <si>
    <t xml:space="preserve">Nelson Mandela Boulevard</t>
  </si>
  <si>
    <t xml:space="preserve">De Waal Drive</t>
  </si>
  <si>
    <t xml:space="preserve">Philip Kgosana Drive</t>
  </si>
  <si>
    <t xml:space="preserve">Modderdam Road</t>
  </si>
  <si>
    <t xml:space="preserve">Robert Sobukwe Road</t>
  </si>
  <si>
    <t xml:space="preserve">Also mapped as: Modderdam East-West Road</t>
  </si>
  <si>
    <t xml:space="preserve">Durbanville</t>
  </si>
  <si>
    <t xml:space="preserve">Hendrik Verwoerd Drive</t>
  </si>
  <si>
    <t xml:space="preserve">Uys Krige Drive</t>
  </si>
  <si>
    <t xml:space="preserve">Coen Steytler Avenue</t>
  </si>
  <si>
    <t xml:space="preserve">Walter Sisulu Avenue</t>
  </si>
  <si>
    <t xml:space="preserve">Rosebank</t>
  </si>
  <si>
    <t xml:space="preserve">Ring Road</t>
  </si>
  <si>
    <t xml:space="preserve">Madiba Circle</t>
  </si>
  <si>
    <t xml:space="preserve">Campus/service road; confirm</t>
  </si>
  <si>
    <t xml:space="preserve">service</t>
  </si>
  <si>
    <t xml:space="preserve">Justice Street</t>
  </si>
  <si>
    <t xml:space="preserve">Rabbi Mirvish Avenue</t>
  </si>
  <si>
    <t xml:space="preserve">Short street; confirm with City of Cape Town</t>
  </si>
  <si>
    <t xml:space="preserve">Beach Road</t>
  </si>
  <si>
    <t xml:space="preserve">Simon's Town</t>
  </si>
  <si>
    <t xml:space="preserve">Goede Gift Road</t>
  </si>
  <si>
    <t xml:space="preserve">Flagship Way</t>
  </si>
  <si>
    <t xml:space="preserve">A flight of steps, not a street</t>
  </si>
  <si>
    <t xml:space="preserve">steps</t>
  </si>
  <si>
    <t xml:space="preserve">Hans Strijdom Avenue</t>
  </si>
  <si>
    <t xml:space="preserve">Palmyra Road</t>
  </si>
  <si>
    <t xml:space="preserve">Alexandra Street</t>
  </si>
  <si>
    <t xml:space="preserve">Protea Street</t>
  </si>
  <si>
    <t xml:space="preserve">De Waal Drive Service Road</t>
  </si>
  <si>
    <t xml:space="preserve">Service Road</t>
  </si>
  <si>
    <t xml:space="preserve">Service road, not a rename</t>
  </si>
  <si>
    <t xml:space="preserve">Zone 5 Road</t>
  </si>
  <si>
    <t xml:space="preserve">Township zone number replaced by a name</t>
  </si>
  <si>
    <t xml:space="preserve">Zone 16 Road</t>
  </si>
  <si>
    <t xml:space="preserve">Durban</t>
  </si>
  <si>
    <t xml:space="preserve">Kensington Drive</t>
  </si>
  <si>
    <t xml:space="preserve">Adelaide Tambo Drive</t>
  </si>
  <si>
    <t xml:space="preserve">Smith Street</t>
  </si>
  <si>
    <t xml:space="preserve">Anton Lembede Street</t>
  </si>
  <si>
    <t xml:space="preserve">Old Fort Place</t>
  </si>
  <si>
    <t xml:space="preserve">Archie Gumede Place</t>
  </si>
  <si>
    <t xml:space="preserve">Victoria Street</t>
  </si>
  <si>
    <t xml:space="preserve">Bertha Mkhize Street</t>
  </si>
  <si>
    <t xml:space="preserve">Ordnance Road</t>
  </si>
  <si>
    <t xml:space="preserve">Bram Fischer Road</t>
  </si>
  <si>
    <t xml:space="preserve">Beatrice Street</t>
  </si>
  <si>
    <t xml:space="preserve">Charlotte Maxeke Street</t>
  </si>
  <si>
    <t xml:space="preserve">Berea</t>
  </si>
  <si>
    <t xml:space="preserve">Moore Road</t>
  </si>
  <si>
    <t xml:space="preserve">Che Guevara Road</t>
  </si>
  <si>
    <t xml:space="preserve">North Coast Road</t>
  </si>
  <si>
    <t xml:space="preserve">Chris Hani Road</t>
  </si>
  <si>
    <t xml:space="preserve">Ntuzuma</t>
  </si>
  <si>
    <t xml:space="preserve">KwaMashu Highway</t>
  </si>
  <si>
    <t xml:space="preserve">Curnick Ndlovu Highway</t>
  </si>
  <si>
    <t xml:space="preserve">Leopold Street</t>
  </si>
  <si>
    <t xml:space="preserve">David Webster Street</t>
  </si>
  <si>
    <t xml:space="preserve">Queen Street</t>
  </si>
  <si>
    <t xml:space="preserve">Denis Hurley Street</t>
  </si>
  <si>
    <t xml:space="preserve">Saint Andrews Street</t>
  </si>
  <si>
    <t xml:space="preserve">Diakonia Avenue</t>
  </si>
  <si>
    <t xml:space="preserve">Commercial Road</t>
  </si>
  <si>
    <t xml:space="preserve">Doctor A.B. Xuma Street</t>
  </si>
  <si>
    <t xml:space="preserve">Prince Edward Street</t>
  </si>
  <si>
    <t xml:space="preserve">Doctor Goonam Street</t>
  </si>
  <si>
    <t xml:space="preserve">Winder Street</t>
  </si>
  <si>
    <t xml:space="preserve">Doctor Langalibalele Dube Street</t>
  </si>
  <si>
    <t xml:space="preserve">West Street</t>
  </si>
  <si>
    <t xml:space="preserve">Doctor Pixley Kaseme Street</t>
  </si>
  <si>
    <t xml:space="preserve">Grey Street</t>
  </si>
  <si>
    <t xml:space="preserve">Doctor Yusuf Dadoo Street</t>
  </si>
  <si>
    <t xml:space="preserve">Broad Street</t>
  </si>
  <si>
    <t xml:space="preserve">Brickfield Road</t>
  </si>
  <si>
    <t xml:space="preserve">Felix Dlamini Road</t>
  </si>
  <si>
    <t xml:space="preserve">Prince Alfred Street</t>
  </si>
  <si>
    <t xml:space="preserve">Florence Nzama Street</t>
  </si>
  <si>
    <t xml:space="preserve">Dartnell Crescent</t>
  </si>
  <si>
    <t xml:space="preserve">Gladys Manzi Road</t>
  </si>
  <si>
    <t xml:space="preserve">Mitchell Crescent</t>
  </si>
  <si>
    <t xml:space="preserve">Marriot Road</t>
  </si>
  <si>
    <t xml:space="preserve">Gladys Mazibuko Road</t>
  </si>
  <si>
    <t xml:space="preserve">Walter Gilbert Road</t>
  </si>
  <si>
    <t xml:space="preserve">Isaiah Ntshangase Road</t>
  </si>
  <si>
    <t xml:space="preserve">Lorne Street</t>
  </si>
  <si>
    <t xml:space="preserve">Ismail C. Meer Street</t>
  </si>
  <si>
    <t xml:space="preserve">Field Street</t>
  </si>
  <si>
    <t xml:space="preserve">Joe Slovo Street</t>
  </si>
  <si>
    <t xml:space="preserve">Alice Street</t>
  </si>
  <si>
    <t xml:space="preserve">Johannes Nkosi Street</t>
  </si>
  <si>
    <t xml:space="preserve">Sydenham Road</t>
  </si>
  <si>
    <t xml:space="preserve">John Zikhali Road</t>
  </si>
  <si>
    <t xml:space="preserve">Russell Street</t>
  </si>
  <si>
    <t xml:space="preserve">Joseph Nduli Street</t>
  </si>
  <si>
    <t xml:space="preserve">Pinetown</t>
  </si>
  <si>
    <t xml:space="preserve">Old Main Road</t>
  </si>
  <si>
    <t xml:space="preserve">Josiah Gumede Road</t>
  </si>
  <si>
    <t xml:space="preserve">Old Fort Road</t>
  </si>
  <si>
    <t xml:space="preserve">K.E. Masinga Road</t>
  </si>
  <si>
    <t xml:space="preserve">Northway</t>
  </si>
  <si>
    <t xml:space="preserve">Kenneth Kaunda Road</t>
  </si>
  <si>
    <t xml:space="preserve">Williams Road</t>
  </si>
  <si>
    <t xml:space="preserve">Khuzimpi Shezi Road</t>
  </si>
  <si>
    <t xml:space="preserve">Jan Smuts Highway</t>
  </si>
  <si>
    <t xml:space="preserve">King Cetshwayo Highway</t>
  </si>
  <si>
    <t xml:space="preserve">Berea Road</t>
  </si>
  <si>
    <t xml:space="preserve">King Dinuzulu Road</t>
  </si>
  <si>
    <t xml:space="preserve">Manning Road</t>
  </si>
  <si>
    <t xml:space="preserve">Lena Ahrens Road</t>
  </si>
  <si>
    <t xml:space="preserve">Windermere Road</t>
  </si>
  <si>
    <t xml:space="preserve">Lilian Ngoyi Road</t>
  </si>
  <si>
    <t xml:space="preserve">Gale Street</t>
  </si>
  <si>
    <t xml:space="preserve">Magwaza Maphalala Street</t>
  </si>
  <si>
    <t xml:space="preserve">Point Road</t>
  </si>
  <si>
    <t xml:space="preserve">Mahatma Gandhi Road</t>
  </si>
  <si>
    <t xml:space="preserve">Victoria Embankment</t>
  </si>
  <si>
    <t xml:space="preserve">Margaret Mncadi Avenue</t>
  </si>
  <si>
    <t xml:space="preserve">Cato Manor Road</t>
  </si>
  <si>
    <t xml:space="preserve">Mary Thiphe Street</t>
  </si>
  <si>
    <t xml:space="preserve">NMR Avenue</t>
  </si>
  <si>
    <t xml:space="preserve">Masabalala Yengwa Avenue</t>
  </si>
  <si>
    <t xml:space="preserve">Fisher Street</t>
  </si>
  <si>
    <t xml:space="preserve">Masobiya Mdluli Street</t>
  </si>
  <si>
    <t xml:space="preserve">1st Avenue</t>
  </si>
  <si>
    <t xml:space="preserve">Mathews Meyiwa Road</t>
  </si>
  <si>
    <t xml:space="preserve">Stamford Hill Road</t>
  </si>
  <si>
    <t xml:space="preserve">Saint Georges Street</t>
  </si>
  <si>
    <t xml:space="preserve">Maud Mfusi Street</t>
  </si>
  <si>
    <t xml:space="preserve">Pine Street</t>
  </si>
  <si>
    <t xml:space="preserve">Monty Naicker Road</t>
  </si>
  <si>
    <t xml:space="preserve">Marine Parade</t>
  </si>
  <si>
    <t xml:space="preserve">O.R. Tambo Parade</t>
  </si>
  <si>
    <t xml:space="preserve">Ridge Road</t>
  </si>
  <si>
    <t xml:space="preserve">Peter Mokaba Road</t>
  </si>
  <si>
    <t xml:space="preserve">Also mapped as: Peter Mokaba Ridge</t>
  </si>
  <si>
    <t xml:space="preserve">Cowey Road</t>
  </si>
  <si>
    <t xml:space="preserve">Problem Mkhize Road</t>
  </si>
  <si>
    <t xml:space="preserve">Edith Benson Crescent</t>
  </si>
  <si>
    <t xml:space="preserve">Stanley Copley Drive</t>
  </si>
  <si>
    <t xml:space="preserve">R.D. Naidu Drive</t>
  </si>
  <si>
    <t xml:space="preserve">Francois Road</t>
  </si>
  <si>
    <t xml:space="preserve">Rick Turner Road</t>
  </si>
  <si>
    <t xml:space="preserve">Also mapped as: Francoise Road</t>
  </si>
  <si>
    <t xml:space="preserve">Northern Freeway</t>
  </si>
  <si>
    <t xml:space="preserve">Ruth First Highway</t>
  </si>
  <si>
    <t xml:space="preserve">Aliwal Street</t>
  </si>
  <si>
    <t xml:space="preserve">Samora Machel Street</t>
  </si>
  <si>
    <t xml:space="preserve">Argyle Road</t>
  </si>
  <si>
    <t xml:space="preserve">Sandile Thusi Road</t>
  </si>
  <si>
    <t xml:space="preserve">Goble Road</t>
  </si>
  <si>
    <t xml:space="preserve">Smiso Nkwanyana Road</t>
  </si>
  <si>
    <t xml:space="preserve">Edwin Swales VC Drive</t>
  </si>
  <si>
    <t xml:space="preserve">Solomon Mahlangu Drive</t>
  </si>
  <si>
    <t xml:space="preserve">Queen Mary Avenue</t>
  </si>
  <si>
    <t xml:space="preserve">Sphiwe Zuma Avenue</t>
  </si>
  <si>
    <t xml:space="preserve">Stanger Street</t>
  </si>
  <si>
    <t xml:space="preserve">Stalwart Simelane Street</t>
  </si>
  <si>
    <t xml:space="preserve">Essenwood Road</t>
  </si>
  <si>
    <t xml:space="preserve">Stephen Dlamini Road</t>
  </si>
  <si>
    <t xml:space="preserve">Broadway</t>
  </si>
  <si>
    <t xml:space="preserve">Swapo Road</t>
  </si>
  <si>
    <t xml:space="preserve">Brickhill Road</t>
  </si>
  <si>
    <t xml:space="preserve">Sylvester Ntuli Road</t>
  </si>
  <si>
    <t xml:space="preserve">Nicholson Road</t>
  </si>
  <si>
    <t xml:space="preserve">Z.K. Matthews Road</t>
  </si>
  <si>
    <t xml:space="preserve">Chris Ntuli Road</t>
  </si>
  <si>
    <t xml:space="preserve">Only 2 segments; the main Berea Road became King Dinuzulu Road</t>
  </si>
  <si>
    <t xml:space="preserve">Albert Street</t>
  </si>
  <si>
    <t xml:space="preserve">Ingcuce Road</t>
  </si>
  <si>
    <t xml:space="preserve">Confirm against eThekwini list</t>
  </si>
  <si>
    <t xml:space="preserve">106398 Street</t>
  </si>
  <si>
    <t xml:space="preserve">Numbered placeholder street. Also mapped as: Curnick Ndlovu</t>
  </si>
  <si>
    <t xml:space="preserve">121915 Street</t>
  </si>
  <si>
    <t xml:space="preserve">Frosthaven Close</t>
  </si>
  <si>
    <t xml:space="preserve">Numbered placeholder street</t>
  </si>
  <si>
    <t xml:space="preserve">121587 Street</t>
  </si>
  <si>
    <t xml:space="preserve">Honeyhaven Close</t>
  </si>
  <si>
    <t xml:space="preserve">121586 Street</t>
  </si>
  <si>
    <t xml:space="preserve">Kingshaven Place</t>
  </si>
  <si>
    <t xml:space="preserve">Canal Road</t>
  </si>
  <si>
    <t xml:space="preserve">Richard Walne Road</t>
  </si>
  <si>
    <t xml:space="preserve">Service road, small local change</t>
  </si>
  <si>
    <t xml:space="preserve">121377 Street</t>
  </si>
  <si>
    <t xml:space="preserve">Silverbrook Road</t>
  </si>
  <si>
    <t xml:space="preserve">KuGompo City</t>
  </si>
  <si>
    <t xml:space="preserve">Bruce-Bays Bridge</t>
  </si>
  <si>
    <t xml:space="preserve">Buffalo Bridge</t>
  </si>
  <si>
    <t xml:space="preserve">A bridge; confirm with Buffalo City</t>
  </si>
  <si>
    <t xml:space="preserve">Benoni</t>
  </si>
  <si>
    <t xml:space="preserve">Atlas Road</t>
  </si>
  <si>
    <t xml:space="preserve">Solomon Jefferson Mahlangu Road</t>
  </si>
  <si>
    <t xml:space="preserve">Ekurhuleni</t>
  </si>
  <si>
    <t xml:space="preserve">Swartkoppies Road</t>
  </si>
  <si>
    <t xml:space="preserve">Ali Maziya</t>
  </si>
  <si>
    <t xml:space="preserve">On Ekurhuleni's list of 44 (approved 2019, signs going up from 2021); street type not given in the list; not yet in the map data, position must be added by hand</t>
  </si>
  <si>
    <t xml:space="preserve">Official announcement</t>
  </si>
  <si>
    <t xml:space="preserve">Tom Jones Road</t>
  </si>
  <si>
    <t xml:space="preserve">Amina Cachalia</t>
  </si>
  <si>
    <t xml:space="preserve">Voortrekker Road, Kempton Park</t>
  </si>
  <si>
    <t xml:space="preserve">Amon Ngulele</t>
  </si>
  <si>
    <t xml:space="preserve">Rietfontein Road</t>
  </si>
  <si>
    <t xml:space="preserve">Chris Dlamini</t>
  </si>
  <si>
    <t xml:space="preserve">Putfontein Road</t>
  </si>
  <si>
    <t xml:space="preserve">Cleoupas Nsibanda</t>
  </si>
  <si>
    <t xml:space="preserve">Tonk Meter Road</t>
  </si>
  <si>
    <t xml:space="preserve">Congress Skhumbuzo Mtsweni</t>
  </si>
  <si>
    <t xml:space="preserve">Heidelberg Road</t>
  </si>
  <si>
    <t xml:space="preserve">David Bopape</t>
  </si>
  <si>
    <t xml:space="preserve">Barry Marais Road</t>
  </si>
  <si>
    <t xml:space="preserve">George Makhubela</t>
  </si>
  <si>
    <t xml:space="preserve">Osborne Road</t>
  </si>
  <si>
    <t xml:space="preserve">Johnson Nonjeke</t>
  </si>
  <si>
    <t xml:space="preserve">Griffiths Road</t>
  </si>
  <si>
    <t xml:space="preserve">Joseph Tate Kagarose</t>
  </si>
  <si>
    <t xml:space="preserve">Denne Road / Goods Road</t>
  </si>
  <si>
    <t xml:space="preserve">Kunyamane Ranyaoa</t>
  </si>
  <si>
    <t xml:space="preserve">Barbara Road</t>
  </si>
  <si>
    <t xml:space="preserve">Lazarus Mawela</t>
  </si>
  <si>
    <t xml:space="preserve">Linksfield Road</t>
  </si>
  <si>
    <t xml:space="preserve">Lethabo Malatjie</t>
  </si>
  <si>
    <t xml:space="preserve">Ergo Road / Eleventh Road</t>
  </si>
  <si>
    <t xml:space="preserve">Margaret Gazo</t>
  </si>
  <si>
    <t xml:space="preserve">Snake Road</t>
  </si>
  <si>
    <t xml:space="preserve">Mary Moodley</t>
  </si>
  <si>
    <t xml:space="preserve">Michelle Avenue, Meyersdal</t>
  </si>
  <si>
    <t xml:space="preserve">Nelson Mandela</t>
  </si>
  <si>
    <t xml:space="preserve">Nigel Road / Wit Road</t>
  </si>
  <si>
    <t xml:space="preserve">Ngungunyane Mashabane</t>
  </si>
  <si>
    <t xml:space="preserve">Kraft Road</t>
  </si>
  <si>
    <t xml:space="preserve">Ntemi Ncwane</t>
  </si>
  <si>
    <t xml:space="preserve">Kingsway Road, Daveyton</t>
  </si>
  <si>
    <t xml:space="preserve">Richard Mhlongo</t>
  </si>
  <si>
    <t xml:space="preserve">Holfontein Road / Pansy Road</t>
  </si>
  <si>
    <t xml:space="preserve">Salvation Motshweni</t>
  </si>
  <si>
    <t xml:space="preserve">Kliprivier Road (R550)</t>
  </si>
  <si>
    <t xml:space="preserve">Sam Ntuli</t>
  </si>
  <si>
    <t xml:space="preserve">Wits Rifles Road</t>
  </si>
  <si>
    <t xml:space="preserve">Sam Sidu</t>
  </si>
  <si>
    <t xml:space="preserve">Bronkhorstspruit Road</t>
  </si>
  <si>
    <t xml:space="preserve">Sarah Mnyele</t>
  </si>
  <si>
    <t xml:space="preserve">Jet Park Road</t>
  </si>
  <si>
    <t xml:space="preserve">Sthembiso Clarence Lukhele</t>
  </si>
  <si>
    <t xml:space="preserve">Van Buuren Road</t>
  </si>
  <si>
    <t xml:space="preserve">Thabo Mbeki Road</t>
  </si>
  <si>
    <t xml:space="preserve">Rondebult Road, Boksburg</t>
  </si>
  <si>
    <t xml:space="preserve">Thomas Nkobi</t>
  </si>
  <si>
    <t xml:space="preserve">Grey Avenue</t>
  </si>
  <si>
    <t xml:space="preserve">Vuyisile Bixa</t>
  </si>
  <si>
    <t xml:space="preserve">Jones Road</t>
  </si>
  <si>
    <t xml:space="preserve">Walter Sisulu</t>
  </si>
  <si>
    <t xml:space="preserve">Benoni Road</t>
  </si>
  <si>
    <t xml:space="preserve">Willie Oupa Lukhele</t>
  </si>
  <si>
    <t xml:space="preserve">3rd Avenue</t>
  </si>
  <si>
    <t xml:space="preserve">Josiah Mathebula Street</t>
  </si>
  <si>
    <t xml:space="preserve">Single segment; confirm</t>
  </si>
  <si>
    <t xml:space="preserve">Sandkraal Road</t>
  </si>
  <si>
    <t xml:space="preserve">Also mapped as: Nelson Mandela Blvd</t>
  </si>
  <si>
    <t xml:space="preserve">Albert</t>
  </si>
  <si>
    <t xml:space="preserve">Old name looks incomplete in the map data. Also mapped as: Nelson Mandela Blvd</t>
  </si>
  <si>
    <t xml:space="preserve">Kweek</t>
  </si>
  <si>
    <t xml:space="preserve">Struik Street</t>
  </si>
  <si>
    <t xml:space="preserve">Gqeberha</t>
  </si>
  <si>
    <t xml:space="preserve">Belmont Terrace</t>
  </si>
  <si>
    <t xml:space="preserve">Athol Fugard Terrace</t>
  </si>
  <si>
    <t xml:space="preserve">Whites Road</t>
  </si>
  <si>
    <t xml:space="preserve">John Kani Road</t>
  </si>
  <si>
    <t xml:space="preserve">Chapel Street</t>
  </si>
  <si>
    <t xml:space="preserve">Winston Ntshona Street</t>
  </si>
  <si>
    <t xml:space="preserve">King Edward Street</t>
  </si>
  <si>
    <t xml:space="preserve">Dan Pienaar Street</t>
  </si>
  <si>
    <t xml:space="preserve">Link Road</t>
  </si>
  <si>
    <t xml:space="preserve">Union Road</t>
  </si>
  <si>
    <t xml:space="preserve">Villiers Road</t>
  </si>
  <si>
    <t xml:space="preserve">Prince Mangasuthu Buthelezi</t>
  </si>
  <si>
    <t xml:space="preserve">Looks like a rename that was reversed; confirm</t>
  </si>
  <si>
    <t xml:space="preserve">Flat Rock Pass</t>
  </si>
  <si>
    <t xml:space="preserve">Donkey Pass</t>
  </si>
  <si>
    <t xml:space="preserve">A farm track, not a street</t>
  </si>
  <si>
    <t xml:space="preserve">track</t>
  </si>
  <si>
    <t xml:space="preserve">Spoorwegstraat</t>
  </si>
  <si>
    <t xml:space="preserve">Voortrekker Street</t>
  </si>
  <si>
    <t xml:space="preserve">Maraisburg Road</t>
  </si>
  <si>
    <t xml:space="preserve">Albertina Sisulu Road</t>
  </si>
  <si>
    <t xml:space="preserve">Soweto</t>
  </si>
  <si>
    <t xml:space="preserve">Old Potchefstroom Road</t>
  </si>
  <si>
    <t xml:space="preserve">Alexandra</t>
  </si>
  <si>
    <t xml:space="preserve">John Brand Street</t>
  </si>
  <si>
    <t xml:space="preserve">Joe Nhlanhla Street</t>
  </si>
  <si>
    <t xml:space="preserve">Harrow Road</t>
  </si>
  <si>
    <t xml:space="preserve">Joe Slovo Drive</t>
  </si>
  <si>
    <t xml:space="preserve">Rooth Street</t>
  </si>
  <si>
    <t xml:space="preserve">Josias Madzunya Street</t>
  </si>
  <si>
    <t xml:space="preserve">Randburg</t>
  </si>
  <si>
    <t xml:space="preserve">Hans Strijdom Drive</t>
  </si>
  <si>
    <t xml:space="preserve">Malibongwe Drive</t>
  </si>
  <si>
    <t xml:space="preserve">Selborne Street</t>
  </si>
  <si>
    <t xml:space="preserve">Reverend Sam Buti Street</t>
  </si>
  <si>
    <t xml:space="preserve">Hofmeyr Street</t>
  </si>
  <si>
    <t xml:space="preserve">Richard Baloyi Street</t>
  </si>
  <si>
    <t xml:space="preserve">William Nicol Drive</t>
  </si>
  <si>
    <t xml:space="preserve">Winnie Mandela Drive</t>
  </si>
  <si>
    <t xml:space="preserve">President Street</t>
  </si>
  <si>
    <t xml:space="preserve">Helen Joseph Street</t>
  </si>
  <si>
    <t xml:space="preserve">Inner-city rename adopted 4 Sept 2014; not yet in the map data, position must be added by hand</t>
  </si>
  <si>
    <t xml:space="preserve">Bree Street</t>
  </si>
  <si>
    <t xml:space="preserve">Lilian Ngoyi Street</t>
  </si>
  <si>
    <t xml:space="preserve">Sauer Street</t>
  </si>
  <si>
    <t xml:space="preserve">Pixley Seme Street</t>
  </si>
  <si>
    <t xml:space="preserve">Inner-city rename, 2015; not yet in the map data, position must be added by hand</t>
  </si>
  <si>
    <t xml:space="preserve">Newclare</t>
  </si>
  <si>
    <t xml:space="preserve">Mayor Street</t>
  </si>
  <si>
    <t xml:space="preserve">Rahima Moosa Avenue</t>
  </si>
  <si>
    <t xml:space="preserve">Renamed 2007; not yet in the map data, position must be added by hand</t>
  </si>
  <si>
    <t xml:space="preserve">Jeppe Street</t>
  </si>
  <si>
    <t xml:space="preserve">Rahima Moosa Street</t>
  </si>
  <si>
    <t xml:space="preserve">Noord Street</t>
  </si>
  <si>
    <t xml:space="preserve">Sophie de Bruyn Street</t>
  </si>
  <si>
    <t xml:space="preserve">12th Avenue</t>
  </si>
  <si>
    <t xml:space="preserve">Johan Avenue</t>
  </si>
  <si>
    <t xml:space="preserve">5th Street</t>
  </si>
  <si>
    <t xml:space="preserve">Marjorie Street</t>
  </si>
  <si>
    <t xml:space="preserve">Fig Place Road</t>
  </si>
  <si>
    <t xml:space="preserve">Klipspruit Valley Road</t>
  </si>
  <si>
    <t xml:space="preserve">Bus lane segment only</t>
  </si>
  <si>
    <t xml:space="preserve">busway</t>
  </si>
  <si>
    <t xml:space="preserve">Midrand</t>
  </si>
  <si>
    <t xml:space="preserve">Maxwell Drive</t>
  </si>
  <si>
    <t xml:space="preserve">Van der Bijl Avenue</t>
  </si>
  <si>
    <t xml:space="preserve">Small local change in an office park</t>
  </si>
  <si>
    <t xml:space="preserve">Old Toll Road</t>
  </si>
  <si>
    <t xml:space="preserve">Milkwood Drive</t>
  </si>
  <si>
    <t xml:space="preserve">Reynold Street</t>
  </si>
  <si>
    <t xml:space="preserve">Chief Albert Luthuli Street</t>
  </si>
  <si>
    <t xml:space="preserve">unclassified</t>
  </si>
  <si>
    <t xml:space="preserve">Rood Street</t>
  </si>
  <si>
    <t xml:space="preserve">Mahatma Ghandi Street</t>
  </si>
  <si>
    <t xml:space="preserve">Van Riebeekstraat</t>
  </si>
  <si>
    <t xml:space="preserve">Cowen Ntuli Street</t>
  </si>
  <si>
    <t xml:space="preserve">Voortrekker Rd</t>
  </si>
  <si>
    <t xml:space="preserve">Aerodrome Road</t>
  </si>
  <si>
    <t xml:space="preserve">Single segment; confirm with Mahikeng</t>
  </si>
  <si>
    <t xml:space="preserve">Berg Street</t>
  </si>
  <si>
    <t xml:space="preserve">Alf Makaleng Street</t>
  </si>
  <si>
    <t xml:space="preserve">Also mapped as: Kerk Straat</t>
  </si>
  <si>
    <t xml:space="preserve">Harry Gwala Street</t>
  </si>
  <si>
    <t xml:space="preserve">Stockenstroom Street</t>
  </si>
  <si>
    <t xml:space="preserve">J.A. Calata Street</t>
  </si>
  <si>
    <t xml:space="preserve">Pietermaritzburg</t>
  </si>
  <si>
    <t xml:space="preserve">Newport Drive</t>
  </si>
  <si>
    <t xml:space="preserve">Archie Gumede Drive</t>
  </si>
  <si>
    <t xml:space="preserve">New Greytown Road</t>
  </si>
  <si>
    <t xml:space="preserve">Bhambatha Road</t>
  </si>
  <si>
    <t xml:space="preserve">Chief Albert Luthuli Road</t>
  </si>
  <si>
    <t xml:space="preserve">Baynes Drift Road</t>
  </si>
  <si>
    <t xml:space="preserve">Chief Mhlabunzima Road</t>
  </si>
  <si>
    <t xml:space="preserve">Old Greytown Road</t>
  </si>
  <si>
    <t xml:space="preserve">Chota Motala Road</t>
  </si>
  <si>
    <t xml:space="preserve">Murray Road</t>
  </si>
  <si>
    <t xml:space="preserve">Bishopstowe Road</t>
  </si>
  <si>
    <t xml:space="preserve">Harriette Colenso Road</t>
  </si>
  <si>
    <t xml:space="preserve">Hoosen Haffajee Street</t>
  </si>
  <si>
    <t xml:space="preserve">Loop Street</t>
  </si>
  <si>
    <t xml:space="preserve">Jabu Ndlovu Street</t>
  </si>
  <si>
    <t xml:space="preserve">Longmarket Street</t>
  </si>
  <si>
    <t xml:space="preserve">Langalibalele Street</t>
  </si>
  <si>
    <t xml:space="preserve">East Street</t>
  </si>
  <si>
    <t xml:space="preserve">Masukwana Street</t>
  </si>
  <si>
    <t xml:space="preserve">Sweetwaters Road</t>
  </si>
  <si>
    <t xml:space="preserve">Mbubu Road</t>
  </si>
  <si>
    <t xml:space="preserve">Edendale Road</t>
  </si>
  <si>
    <t xml:space="preserve">Moses Mabhida Road</t>
  </si>
  <si>
    <t xml:space="preserve">Duncan McKenzie Drive</t>
  </si>
  <si>
    <t xml:space="preserve">Peter Brown Drive</t>
  </si>
  <si>
    <t xml:space="preserve">Peter Kerchhoff Street</t>
  </si>
  <si>
    <t xml:space="preserve">Richmond Road</t>
  </si>
  <si>
    <t xml:space="preserve">Reggie Hadebe Road</t>
  </si>
  <si>
    <t xml:space="preserve">Selby Msimang Road</t>
  </si>
  <si>
    <t xml:space="preserve">Slangspruit Road</t>
  </si>
  <si>
    <t xml:space="preserve">Skhumbuzo Ngwenya Road</t>
  </si>
  <si>
    <t xml:space="preserve">Durban Road</t>
  </si>
  <si>
    <t xml:space="preserve">Alan Paton Avenue</t>
  </si>
  <si>
    <t xml:space="preserve">Older rename (before 1994?); confirm the year</t>
  </si>
  <si>
    <t xml:space="preserve">Alexandra Road</t>
  </si>
  <si>
    <t xml:space="preserve">Pentrich Road</t>
  </si>
  <si>
    <t xml:space="preserve">Pine Street North</t>
  </si>
  <si>
    <t xml:space="preserve">Von Wielligh Street</t>
  </si>
  <si>
    <t xml:space="preserve">Albert Luthuli Drive</t>
  </si>
  <si>
    <t xml:space="preserve">Also mapped as: Chief Albert Luthuli Drive</t>
  </si>
  <si>
    <t xml:space="preserve">Kruger Street</t>
  </si>
  <si>
    <t xml:space="preserve">Beyers Naude Avenue</t>
  </si>
  <si>
    <t xml:space="preserve">Also mapped as: Krugerstraat</t>
  </si>
  <si>
    <t xml:space="preserve">Botha Street</t>
  </si>
  <si>
    <t xml:space="preserve">Chris Hani Drive</t>
  </si>
  <si>
    <t xml:space="preserve">Mooirivier Drive</t>
  </si>
  <si>
    <t xml:space="preserve">Govan Mbeki Drive</t>
  </si>
  <si>
    <t xml:space="preserve">Lombaard Street</t>
  </si>
  <si>
    <t xml:space="preserve">James Moroka Avenue</t>
  </si>
  <si>
    <t xml:space="preserve">Greyling Street</t>
  </si>
  <si>
    <t xml:space="preserve">O.R. Tambo Avenue</t>
  </si>
  <si>
    <t xml:space="preserve">Van Riebeeck Street</t>
  </si>
  <si>
    <t xml:space="preserve">Peter Mokaba Avenue</t>
  </si>
  <si>
    <t xml:space="preserve">Also mapped as: Van Riebeeck-straat</t>
  </si>
  <si>
    <t xml:space="preserve">Gouws Street</t>
  </si>
  <si>
    <t xml:space="preserve">Sol Plaatjie Avenue</t>
  </si>
  <si>
    <t xml:space="preserve">Tom Street</t>
  </si>
  <si>
    <t xml:space="preserve">Steve Biko Avenue</t>
  </si>
  <si>
    <t xml:space="preserve">Also mapped as: Tomstraat</t>
  </si>
  <si>
    <t xml:space="preserve">Van der Hoff Road</t>
  </si>
  <si>
    <t xml:space="preserve">Thabo Mbeki Drive</t>
  </si>
  <si>
    <t xml:space="preserve">Also mapped as: Van der Hoff-weg</t>
  </si>
  <si>
    <t xml:space="preserve">Kerk Street</t>
  </si>
  <si>
    <t xml:space="preserve">Also mapped as: Kerkstraat</t>
  </si>
  <si>
    <t xml:space="preserve">Curlewis Street</t>
  </si>
  <si>
    <t xml:space="preserve">Ikageng Street</t>
  </si>
  <si>
    <t xml:space="preserve">Confirm with JB Marks</t>
  </si>
  <si>
    <t xml:space="preserve">Stasie Road</t>
  </si>
  <si>
    <t xml:space="preserve">Piet Bosman Street</t>
  </si>
  <si>
    <t xml:space="preserve">Pietersen Street</t>
  </si>
  <si>
    <t xml:space="preserve">Promosa Road</t>
  </si>
  <si>
    <t xml:space="preserve">Single segment; confirm with JB Marks</t>
  </si>
  <si>
    <t xml:space="preserve">Pretoria</t>
  </si>
  <si>
    <t xml:space="preserve">Mitchell Street</t>
  </si>
  <si>
    <t xml:space="preserve">Hartbeespoort</t>
  </si>
  <si>
    <t xml:space="preserve">Elias Motsoaledi Street</t>
  </si>
  <si>
    <t xml:space="preserve">DF Malan Drive</t>
  </si>
  <si>
    <t xml:space="preserve">Es'kia Mphahlele Drive</t>
  </si>
  <si>
    <t xml:space="preserve">Also mapped as: D.F. Malan Drive, Es'kia Mphahlele Drive West</t>
  </si>
  <si>
    <t xml:space="preserve">Queen Wilhelmina Avenue</t>
  </si>
  <si>
    <t xml:space="preserve">Florence Ribeiro Avenue</t>
  </si>
  <si>
    <t xml:space="preserve">Schoeman Street</t>
  </si>
  <si>
    <t xml:space="preserve">Francis Baard Street</t>
  </si>
  <si>
    <t xml:space="preserve">pedestrian</t>
  </si>
  <si>
    <t xml:space="preserve">Duncan Street</t>
  </si>
  <si>
    <t xml:space="preserve">Jan Shoba Street</t>
  </si>
  <si>
    <t xml:space="preserve">General Louis Botha Drive</t>
  </si>
  <si>
    <t xml:space="preserve">January Masilela Drive</t>
  </si>
  <si>
    <t xml:space="preserve">Jacob Mare Street</t>
  </si>
  <si>
    <t xml:space="preserve">Jeff Masemola Street</t>
  </si>
  <si>
    <t xml:space="preserve">Also mapped as: Jacob Mare</t>
  </si>
  <si>
    <t xml:space="preserve">H.F. Verwoerd Drive</t>
  </si>
  <si>
    <t xml:space="preserve">Johan Heyns Drive</t>
  </si>
  <si>
    <t xml:space="preserve">Proes Street</t>
  </si>
  <si>
    <t xml:space="preserve">Johannes Ramokhoase Street</t>
  </si>
  <si>
    <t xml:space="preserve">Walker Street</t>
  </si>
  <si>
    <t xml:space="preserve">Justice Mahomed Street</t>
  </si>
  <si>
    <t xml:space="preserve">Charles Street</t>
  </si>
  <si>
    <t xml:space="preserve">Potgieter Street</t>
  </si>
  <si>
    <t xml:space="preserve">Kgosi Mampuru Street</t>
  </si>
  <si>
    <t xml:space="preserve">Van Der Walt Street</t>
  </si>
  <si>
    <t xml:space="preserve">Vermeulen Street</t>
  </si>
  <si>
    <t xml:space="preserve">Madiba Street</t>
  </si>
  <si>
    <t xml:space="preserve">Skinner Street</t>
  </si>
  <si>
    <t xml:space="preserve">Nana Sita Street</t>
  </si>
  <si>
    <t xml:space="preserve">Michael Brink Avenue</t>
  </si>
  <si>
    <t xml:space="preserve">Nico Smith Street</t>
  </si>
  <si>
    <t xml:space="preserve">Esselen Street</t>
  </si>
  <si>
    <t xml:space="preserve">Robert Sobukwe Street</t>
  </si>
  <si>
    <t xml:space="preserve">Zambesi Drive</t>
  </si>
  <si>
    <t xml:space="preserve">Sefako Makgatho Drive</t>
  </si>
  <si>
    <t xml:space="preserve">Prinsloo Street</t>
  </si>
  <si>
    <t xml:space="preserve">Sisulu Street</t>
  </si>
  <si>
    <t xml:space="preserve">Centurion</t>
  </si>
  <si>
    <t xml:space="preserve">Schubert Street</t>
  </si>
  <si>
    <t xml:space="preserve">Stanza Bopape Street</t>
  </si>
  <si>
    <t xml:space="preserve">Steve Biko Road</t>
  </si>
  <si>
    <t xml:space="preserve">Also mapped as: Steve Biko Street</t>
  </si>
  <si>
    <t xml:space="preserve">Beatrix Street</t>
  </si>
  <si>
    <t xml:space="preserve">Mears Street</t>
  </si>
  <si>
    <t xml:space="preserve">Andries Street</t>
  </si>
  <si>
    <t xml:space="preserve">Thabo Sehume Street</t>
  </si>
  <si>
    <t xml:space="preserve">W.F. Nkomo Street</t>
  </si>
  <si>
    <t xml:space="preserve">Lucas Mangope Highway</t>
  </si>
  <si>
    <t xml:space="preserve">Molefe Makinta Highway</t>
  </si>
  <si>
    <t xml:space="preserve">On Tshwane's 2012 list of 28; not yet in the map data, position must be added by hand</t>
  </si>
  <si>
    <t xml:space="preserve">Leah Mangope Road</t>
  </si>
  <si>
    <t xml:space="preserve">Peter Magano Road</t>
  </si>
  <si>
    <t xml:space="preserve">Bloed Street</t>
  </si>
  <si>
    <t xml:space="preserve">Cussonia Avenue</t>
  </si>
  <si>
    <t xml:space="preserve">Elandspoort Avenue</t>
  </si>
  <si>
    <t xml:space="preserve">Rayton</t>
  </si>
  <si>
    <t xml:space="preserve">Hornbill</t>
  </si>
  <si>
    <t xml:space="preserve">Korhaan Street</t>
  </si>
  <si>
    <t xml:space="preserve">Translation (both mean hornbill-type birds), small local street</t>
  </si>
  <si>
    <t xml:space="preserve">Soutpansberg Road</t>
  </si>
  <si>
    <t xml:space="preserve">Trichardt Road</t>
  </si>
  <si>
    <t xml:space="preserve">Striptease Trail</t>
  </si>
  <si>
    <t xml:space="preserve">River Trail</t>
  </si>
  <si>
    <t xml:space="preserve">A hiking path, not a street</t>
  </si>
  <si>
    <t xml:space="preserve">path</t>
  </si>
  <si>
    <t xml:space="preserve">Langenhoven Street</t>
  </si>
  <si>
    <t xml:space="preserve">Pasteur Boulevard</t>
  </si>
  <si>
    <t xml:space="preserve">Unusual pair; confirm with Emfuleni</t>
  </si>
  <si>
    <t xml:space="preserve">Laingsnek Street</t>
  </si>
  <si>
    <t xml:space="preserve">Dr. Nelson Mandela Drive</t>
  </si>
  <si>
    <t xml:space="preserve">Willow Road</t>
  </si>
  <si>
    <t xml:space="preserve">Wilger</t>
  </si>
  <si>
    <t xml:space="preserve">Translation (wilger = willow)</t>
  </si>
  <si>
    <t xml:space="preserve">Express</t>
  </si>
  <si>
    <t xml:space="preserve">Link</t>
  </si>
  <si>
    <t xml:space="preserve">OpenStreetMap (old_name tags), via Overpass API, October 2026</t>
  </si>
  <si>
    <t xml:space="preserve">https://www.openstreetmap.org/copyright</t>
  </si>
  <si>
    <t xml:space="preserve">SAnews: Tshwane Metro to proceed with street name changes (2012)</t>
  </si>
  <si>
    <t xml:space="preserve">https://www.sanews.gov.za/south-africa/tshwane-metro-proceed-street-name-changes</t>
  </si>
  <si>
    <t xml:space="preserve">The Heritage Portal: A Deeper Look at Johannesburg's New Street Names</t>
  </si>
  <si>
    <t xml:space="preserve">https://www.theheritageportal.co.za/article/deeper-look-johannesburgs-new-street-names</t>
  </si>
  <si>
    <t xml:space="preserve">BusinessTech: These 44 roads in Ekurhuleni are getting a name change (Oct 2021)</t>
  </si>
  <si>
    <t xml:space="preserve">https://businesstech.co.za/news/government/528874/these-44-roads-in-ekurhuleni-are-getting-a-name-change-what-you-need-to-know/</t>
  </si>
  <si>
    <t xml:space="preserve">IOL: Nine (Durban) street names to revert (Dec 2011)</t>
  </si>
  <si>
    <t xml:space="preserve">https://iol.co.za/news/south-africa/kwazulu-natal/2011-12-01-nine-street-names-to-revert/</t>
  </si>
  <si>
    <t xml:space="preserve">Supreme Court of Appeal judgment on the Durban renames (2011)</t>
  </si>
  <si>
    <t xml:space="preserve">https://lawlibrary.org.za/akn/za/judgment/zasca/2011/221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</si>
</sst>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u val="single"/>
      <sz val="10"/>
      <color rgb="FF1565C0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63238"/>
        <bgColor rgb="FF333300"/>
      </patternFill>
    </fill>
    <fill>
      <patternFill patternType="solid">
        <fgColor rgb="FFF9A825"/>
        <bgColor rgb="FFFFCC00"/>
      </patternFill>
    </fill>
    <fill>
      <patternFill patternType="solid">
        <fgColor rgb="FFE8F5E9"/>
        <bgColor rgb="FFE3F2FD"/>
      </patternFill>
    </fill>
    <fill>
      <patternFill patternType="solid">
        <fgColor rgb="FFFFF59D"/>
        <bgColor rgb="FFFFF3E0"/>
      </patternFill>
    </fill>
    <fill>
      <patternFill patternType="solid">
        <fgColor rgb="FFFFF3E0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E3F2FD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26323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9A825"/>
          <bgColor rgb="FF000000"/>
        </patternFill>
      </fill>
    </dxf>
    <dxf>
      <fill>
        <patternFill patternType="solid">
          <fgColor rgb="FFFFF59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>
          <bgColor rgb="FFA5D6A7"/>
        </patternFill>
      </fill>
    </dxf>
    <dxf>
      <fill>
        <patternFill>
          <bgColor rgb="FFE0E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5D6A7"/>
      <rgbColor rgb="FF808080"/>
      <rgbColor rgb="FF9999FF"/>
      <rgbColor rgb="FF993366"/>
      <rgbColor rgb="FFFFF3E0"/>
      <rgbColor rgb="FFE3F2FD"/>
      <rgbColor rgb="FF660066"/>
      <rgbColor rgb="FFFF8080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0E0E0"/>
      <rgbColor rgb="FFFFF59D"/>
      <rgbColor rgb="FF99CCFF"/>
      <rgbColor rgb="FFFF99CC"/>
      <rgbColor rgb="FFCC99FF"/>
      <rgbColor rgb="FFF5F5F5"/>
      <rgbColor rgb="FF3366FF"/>
      <rgbColor rgb="FF33CCCC"/>
      <rgbColor rgb="FF99CC00"/>
      <rgbColor rgb="FFFFCC00"/>
      <rgbColor rgb="FFF9A825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openstreetmap.org/?mlat=-26.45266&amp;mlon=29.46687" TargetMode="External"/><Relationship Id="rId3" Type="http://schemas.openxmlformats.org/officeDocument/2006/relationships/hyperlink" Target="https://www.openstreetmap.org/?mlat=-29.1052&amp;mlon=26.23482" TargetMode="External"/><Relationship Id="rId4" Type="http://schemas.openxmlformats.org/officeDocument/2006/relationships/hyperlink" Target="https://www.openstreetmap.org/?mlat=-29.1234&amp;mlon=26.19797" TargetMode="External"/><Relationship Id="rId5" Type="http://schemas.openxmlformats.org/officeDocument/2006/relationships/hyperlink" Target="https://www.openstreetmap.org/?mlat=-29.12547&amp;mlon=26.18381" TargetMode="External"/><Relationship Id="rId6" Type="http://schemas.openxmlformats.org/officeDocument/2006/relationships/hyperlink" Target="https://www.openstreetmap.org/?mlat=-29.13524&amp;mlon=26.18792" TargetMode="External"/><Relationship Id="rId7" Type="http://schemas.openxmlformats.org/officeDocument/2006/relationships/hyperlink" Target="https://www.openstreetmap.org/?mlat=-33.9211&amp;mlon=18.43371" TargetMode="External"/><Relationship Id="rId8" Type="http://schemas.openxmlformats.org/officeDocument/2006/relationships/hyperlink" Target="https://www.openstreetmap.org/?mlat=-33.92133&amp;mlon=18.45198" TargetMode="External"/><Relationship Id="rId9" Type="http://schemas.openxmlformats.org/officeDocument/2006/relationships/hyperlink" Target="https://www.openstreetmap.org/?mlat=-34.00239&amp;mlon=18.51792" TargetMode="External"/><Relationship Id="rId10" Type="http://schemas.openxmlformats.org/officeDocument/2006/relationships/hyperlink" Target="https://www.openstreetmap.org/?mlat=-33.93266&amp;mlon=18.43728" TargetMode="External"/><Relationship Id="rId11" Type="http://schemas.openxmlformats.org/officeDocument/2006/relationships/hyperlink" Target="https://www.openstreetmap.org/?mlat=-33.90727&amp;mlon=18.41042" TargetMode="External"/><Relationship Id="rId12" Type="http://schemas.openxmlformats.org/officeDocument/2006/relationships/hyperlink" Target="https://www.openstreetmap.org/?mlat=-33.98306&amp;mlon=18.4685" TargetMode="External"/><Relationship Id="rId13" Type="http://schemas.openxmlformats.org/officeDocument/2006/relationships/hyperlink" Target="https://www.openstreetmap.org/?mlat=-33.95529&amp;mlon=18.54096" TargetMode="External"/><Relationship Id="rId14" Type="http://schemas.openxmlformats.org/officeDocument/2006/relationships/hyperlink" Target="https://www.openstreetmap.org/?mlat=-34.00893&amp;mlon=18.63592" TargetMode="External"/><Relationship Id="rId15" Type="http://schemas.openxmlformats.org/officeDocument/2006/relationships/hyperlink" Target="https://www.openstreetmap.org/?mlat=-33.94555&amp;mlon=18.53768" TargetMode="External"/><Relationship Id="rId16" Type="http://schemas.openxmlformats.org/officeDocument/2006/relationships/hyperlink" Target="https://www.openstreetmap.org/?mlat=-33.9189&amp;mlon=18.4332" TargetMode="External"/><Relationship Id="rId17" Type="http://schemas.openxmlformats.org/officeDocument/2006/relationships/hyperlink" Target="https://www.openstreetmap.org/?mlat=-33.93877&amp;mlon=18.44395" TargetMode="External"/><Relationship Id="rId18" Type="http://schemas.openxmlformats.org/officeDocument/2006/relationships/hyperlink" Target="https://www.openstreetmap.org/?mlat=-33.95853&amp;mlon=18.55875" TargetMode="External"/><Relationship Id="rId19" Type="http://schemas.openxmlformats.org/officeDocument/2006/relationships/hyperlink" Target="https://www.openstreetmap.org/?mlat=-33.88612&amp;mlon=18.61006" TargetMode="External"/><Relationship Id="rId20" Type="http://schemas.openxmlformats.org/officeDocument/2006/relationships/hyperlink" Target="https://www.openstreetmap.org/?mlat=-33.91701&amp;mlon=18.4272" TargetMode="External"/><Relationship Id="rId21" Type="http://schemas.openxmlformats.org/officeDocument/2006/relationships/hyperlink" Target="https://www.openstreetmap.org/?mlat=-33.95499&amp;mlon=18.46161" TargetMode="External"/><Relationship Id="rId22" Type="http://schemas.openxmlformats.org/officeDocument/2006/relationships/hyperlink" Target="https://www.openstreetmap.org/?mlat=-33.93695&amp;mlon=18.41923" TargetMode="External"/><Relationship Id="rId23" Type="http://schemas.openxmlformats.org/officeDocument/2006/relationships/hyperlink" Target="https://www.openstreetmap.org/?mlat=-33.9064&amp;mlon=18.39846" TargetMode="External"/><Relationship Id="rId24" Type="http://schemas.openxmlformats.org/officeDocument/2006/relationships/hyperlink" Target="https://www.openstreetmap.org/?mlat=-34.19419&amp;mlon=18.43244" TargetMode="External"/><Relationship Id="rId25" Type="http://schemas.openxmlformats.org/officeDocument/2006/relationships/hyperlink" Target="https://www.openstreetmap.org/?mlat=-33.91575&amp;mlon=18.42235" TargetMode="External"/><Relationship Id="rId26" Type="http://schemas.openxmlformats.org/officeDocument/2006/relationships/hyperlink" Target="https://www.openstreetmap.org/?mlat=-33.98269&amp;mlon=18.46791" TargetMode="External"/><Relationship Id="rId27" Type="http://schemas.openxmlformats.org/officeDocument/2006/relationships/hyperlink" Target="https://www.openstreetmap.org/?mlat=-33.89488&amp;mlon=18.62856" TargetMode="External"/><Relationship Id="rId28" Type="http://schemas.openxmlformats.org/officeDocument/2006/relationships/hyperlink" Target="https://www.openstreetmap.org/?mlat=-33.93494&amp;mlon=18.43156" TargetMode="External"/><Relationship Id="rId29" Type="http://schemas.openxmlformats.org/officeDocument/2006/relationships/hyperlink" Target="https://www.openstreetmap.org/?mlat=-33.94602&amp;mlon=18.53375" TargetMode="External"/><Relationship Id="rId30" Type="http://schemas.openxmlformats.org/officeDocument/2006/relationships/hyperlink" Target="https://www.openstreetmap.org/?mlat=-33.94624&amp;mlon=18.53594" TargetMode="External"/><Relationship Id="rId31" Type="http://schemas.openxmlformats.org/officeDocument/2006/relationships/hyperlink" Target="https://www.openstreetmap.org/?mlat=-29.77512&amp;mlon=31.04417" TargetMode="External"/><Relationship Id="rId32" Type="http://schemas.openxmlformats.org/officeDocument/2006/relationships/hyperlink" Target="https://www.openstreetmap.org/?mlat=-29.86159&amp;mlon=31.01056" TargetMode="External"/><Relationship Id="rId33" Type="http://schemas.openxmlformats.org/officeDocument/2006/relationships/hyperlink" Target="https://www.openstreetmap.org/?mlat=-29.85072&amp;mlon=31.02471" TargetMode="External"/><Relationship Id="rId34" Type="http://schemas.openxmlformats.org/officeDocument/2006/relationships/hyperlink" Target="https://www.openstreetmap.org/?mlat=-29.8555&amp;mlon=31.02215" TargetMode="External"/><Relationship Id="rId35" Type="http://schemas.openxmlformats.org/officeDocument/2006/relationships/hyperlink" Target="https://www.openstreetmap.org/?mlat=-29.85306&amp;mlon=31.02189" TargetMode="External"/><Relationship Id="rId36" Type="http://schemas.openxmlformats.org/officeDocument/2006/relationships/hyperlink" Target="https://www.openstreetmap.org/?mlat=-29.85199&amp;mlon=31.01534" TargetMode="External"/><Relationship Id="rId37" Type="http://schemas.openxmlformats.org/officeDocument/2006/relationships/hyperlink" Target="https://www.openstreetmap.org/?mlat=-29.85539&amp;mlon=30.99818" TargetMode="External"/><Relationship Id="rId38" Type="http://schemas.openxmlformats.org/officeDocument/2006/relationships/hyperlink" Target="https://www.openstreetmap.org/?mlat=-29.80901&amp;mlon=31.01436" TargetMode="External"/><Relationship Id="rId39" Type="http://schemas.openxmlformats.org/officeDocument/2006/relationships/hyperlink" Target="https://www.openstreetmap.org/?mlat=-29.75124&amp;mlon=31.01204" TargetMode="External"/><Relationship Id="rId40" Type="http://schemas.openxmlformats.org/officeDocument/2006/relationships/hyperlink" Target="https://www.openstreetmap.org/?mlat=-29.85579&amp;mlon=31.01159" TargetMode="External"/><Relationship Id="rId41" Type="http://schemas.openxmlformats.org/officeDocument/2006/relationships/hyperlink" Target="https://www.openstreetmap.org/?mlat=-29.85699&amp;mlon=31.01484" TargetMode="External"/><Relationship Id="rId42" Type="http://schemas.openxmlformats.org/officeDocument/2006/relationships/hyperlink" Target="https://www.openstreetmap.org/?mlat=-29.8632&amp;mlon=31.01513" TargetMode="External"/><Relationship Id="rId43" Type="http://schemas.openxmlformats.org/officeDocument/2006/relationships/hyperlink" Target="https://www.openstreetmap.org/?mlat=-29.85772&amp;mlon=31.01855" TargetMode="External"/><Relationship Id="rId44" Type="http://schemas.openxmlformats.org/officeDocument/2006/relationships/hyperlink" Target="https://www.openstreetmap.org/?mlat=-29.85507&amp;mlon=31.01458" TargetMode="External"/><Relationship Id="rId45" Type="http://schemas.openxmlformats.org/officeDocument/2006/relationships/hyperlink" Target="https://www.openstreetmap.org/?mlat=-29.86029&amp;mlon=31.03445" TargetMode="External"/><Relationship Id="rId46" Type="http://schemas.openxmlformats.org/officeDocument/2006/relationships/hyperlink" Target="https://www.openstreetmap.org/?mlat=-29.85973&amp;mlon=31.01551" TargetMode="External"/><Relationship Id="rId47" Type="http://schemas.openxmlformats.org/officeDocument/2006/relationships/hyperlink" Target="https://www.openstreetmap.org/?mlat=-29.85637&amp;mlon=31.0171" TargetMode="External"/><Relationship Id="rId48" Type="http://schemas.openxmlformats.org/officeDocument/2006/relationships/hyperlink" Target="https://www.openstreetmap.org/?mlat=-29.86157&amp;mlon=31.0182" TargetMode="External"/><Relationship Id="rId49" Type="http://schemas.openxmlformats.org/officeDocument/2006/relationships/hyperlink" Target="https://www.openstreetmap.org/?mlat=-29.84614&amp;mlon=30.98579" TargetMode="External"/><Relationship Id="rId50" Type="http://schemas.openxmlformats.org/officeDocument/2006/relationships/hyperlink" Target="https://www.openstreetmap.org/?mlat=-29.84778&amp;mlon=31.03061" TargetMode="External"/><Relationship Id="rId51" Type="http://schemas.openxmlformats.org/officeDocument/2006/relationships/hyperlink" Target="https://www.openstreetmap.org/?mlat=-29.84949&amp;mlon=31.01373" TargetMode="External"/><Relationship Id="rId52" Type="http://schemas.openxmlformats.org/officeDocument/2006/relationships/hyperlink" Target="https://www.openstreetmap.org/?mlat=-29.84365&amp;mlon=31.01774" TargetMode="External"/><Relationship Id="rId53" Type="http://schemas.openxmlformats.org/officeDocument/2006/relationships/hyperlink" Target="https://www.openstreetmap.org/?mlat=-29.83531&amp;mlon=31.00446" TargetMode="External"/><Relationship Id="rId54" Type="http://schemas.openxmlformats.org/officeDocument/2006/relationships/hyperlink" Target="https://www.openstreetmap.org/?mlat=-29.82865&amp;mlon=31.03404" TargetMode="External"/><Relationship Id="rId55" Type="http://schemas.openxmlformats.org/officeDocument/2006/relationships/hyperlink" Target="https://www.openstreetmap.org/?mlat=-29.85117&amp;mlon=31.01523" TargetMode="External"/><Relationship Id="rId56" Type="http://schemas.openxmlformats.org/officeDocument/2006/relationships/hyperlink" Target="https://www.openstreetmap.org/?mlat=-29.85534&amp;mlon=31.02112" TargetMode="External"/><Relationship Id="rId57" Type="http://schemas.openxmlformats.org/officeDocument/2006/relationships/hyperlink" Target="https://www.openstreetmap.org/?mlat=-29.85367&amp;mlon=31.01241" TargetMode="External"/><Relationship Id="rId58" Type="http://schemas.openxmlformats.org/officeDocument/2006/relationships/hyperlink" Target="https://www.openstreetmap.org/?mlat=-29.83958&amp;mlon=30.99773" TargetMode="External"/><Relationship Id="rId59" Type="http://schemas.openxmlformats.org/officeDocument/2006/relationships/hyperlink" Target="https://www.openstreetmap.org/?mlat=-29.86161&amp;mlon=31.01593" TargetMode="External"/><Relationship Id="rId60" Type="http://schemas.openxmlformats.org/officeDocument/2006/relationships/hyperlink" Target="https://www.openstreetmap.org/?mlat=-29.81622&amp;mlon=30.86471" TargetMode="External"/><Relationship Id="rId61" Type="http://schemas.openxmlformats.org/officeDocument/2006/relationships/hyperlink" Target="https://www.openstreetmap.org/?mlat=-29.85174&amp;mlon=31.02563" TargetMode="External"/><Relationship Id="rId62" Type="http://schemas.openxmlformats.org/officeDocument/2006/relationships/hyperlink" Target="https://www.openstreetmap.org/?mlat=-29.78408&amp;mlon=31.03637" TargetMode="External"/><Relationship Id="rId63" Type="http://schemas.openxmlformats.org/officeDocument/2006/relationships/hyperlink" Target="https://www.openstreetmap.org/?mlat=-29.85864&amp;mlon=31.0111" TargetMode="External"/><Relationship Id="rId64" Type="http://schemas.openxmlformats.org/officeDocument/2006/relationships/hyperlink" Target="https://www.openstreetmap.org/?mlat=-29.83454&amp;mlon=30.96973" TargetMode="External"/><Relationship Id="rId65" Type="http://schemas.openxmlformats.org/officeDocument/2006/relationships/hyperlink" Target="https://www.openstreetmap.org/?mlat=-29.85395&amp;mlon=31.00005" TargetMode="External"/><Relationship Id="rId66" Type="http://schemas.openxmlformats.org/officeDocument/2006/relationships/hyperlink" Target="https://www.openstreetmap.org/?mlat=-29.85685&amp;mlon=30.99455" TargetMode="External"/><Relationship Id="rId67" Type="http://schemas.openxmlformats.org/officeDocument/2006/relationships/hyperlink" Target="https://www.openstreetmap.org/?mlat=-29.82603&amp;mlon=31.02193" TargetMode="External"/><Relationship Id="rId68" Type="http://schemas.openxmlformats.org/officeDocument/2006/relationships/hyperlink" Target="https://www.openstreetmap.org/?mlat=-29.86716&amp;mlon=31.00028" TargetMode="External"/><Relationship Id="rId69" Type="http://schemas.openxmlformats.org/officeDocument/2006/relationships/hyperlink" Target="https://www.openstreetmap.org/?mlat=-29.87104&amp;mlon=31.05247" TargetMode="External"/><Relationship Id="rId70" Type="http://schemas.openxmlformats.org/officeDocument/2006/relationships/hyperlink" Target="https://www.openstreetmap.org/?mlat=-29.86391&amp;mlon=31.0181" TargetMode="External"/><Relationship Id="rId71" Type="http://schemas.openxmlformats.org/officeDocument/2006/relationships/hyperlink" Target="https://www.openstreetmap.org/?mlat=-29.86203&amp;mlon=30.96733" TargetMode="External"/><Relationship Id="rId72" Type="http://schemas.openxmlformats.org/officeDocument/2006/relationships/hyperlink" Target="https://www.openstreetmap.org/?mlat=-29.82279&amp;mlon=31.03263" TargetMode="External"/><Relationship Id="rId73" Type="http://schemas.openxmlformats.org/officeDocument/2006/relationships/hyperlink" Target="https://www.openstreetmap.org/?mlat=-29.85878&amp;mlon=31.03687" TargetMode="External"/><Relationship Id="rId74" Type="http://schemas.openxmlformats.org/officeDocument/2006/relationships/hyperlink" Target="https://www.openstreetmap.org/?mlat=-29.84981&amp;mlon=31.01819" TargetMode="External"/><Relationship Id="rId75" Type="http://schemas.openxmlformats.org/officeDocument/2006/relationships/hyperlink" Target="https://www.openstreetmap.org/?mlat=-29.83896&amp;mlon=31.02086" TargetMode="External"/><Relationship Id="rId76" Type="http://schemas.openxmlformats.org/officeDocument/2006/relationships/hyperlink" Target="https://www.openstreetmap.org/?mlat=-29.86204&amp;mlon=31.01536" TargetMode="External"/><Relationship Id="rId77" Type="http://schemas.openxmlformats.org/officeDocument/2006/relationships/hyperlink" Target="https://www.openstreetmap.org/?mlat=-29.85834&amp;mlon=31.01608" TargetMode="External"/><Relationship Id="rId78" Type="http://schemas.openxmlformats.org/officeDocument/2006/relationships/hyperlink" Target="https://www.openstreetmap.org/?mlat=-29.84943&amp;mlon=31.03698" TargetMode="External"/><Relationship Id="rId79" Type="http://schemas.openxmlformats.org/officeDocument/2006/relationships/hyperlink" Target="https://www.openstreetmap.org/?mlat=-29.83494&amp;mlon=31.00074" TargetMode="External"/><Relationship Id="rId80" Type="http://schemas.openxmlformats.org/officeDocument/2006/relationships/hyperlink" Target="https://www.openstreetmap.org/?mlat=-29.83339&amp;mlon=31.01429" TargetMode="External"/><Relationship Id="rId81" Type="http://schemas.openxmlformats.org/officeDocument/2006/relationships/hyperlink" Target="https://www.openstreetmap.org/?mlat=-29.84688&amp;mlon=31.00481" TargetMode="External"/><Relationship Id="rId82" Type="http://schemas.openxmlformats.org/officeDocument/2006/relationships/hyperlink" Target="https://www.openstreetmap.org/?mlat=-29.82548&amp;mlon=30.99591" TargetMode="External"/><Relationship Id="rId83" Type="http://schemas.openxmlformats.org/officeDocument/2006/relationships/hyperlink" Target="https://www.openstreetmap.org/?mlat=-29.87393&amp;mlon=30.98177" TargetMode="External"/><Relationship Id="rId84" Type="http://schemas.openxmlformats.org/officeDocument/2006/relationships/hyperlink" Target="https://www.openstreetmap.org/?mlat=-29.83543&amp;mlon=31.03122" TargetMode="External"/><Relationship Id="rId85" Type="http://schemas.openxmlformats.org/officeDocument/2006/relationships/hyperlink" Target="https://www.openstreetmap.org/?mlat=-29.86031&amp;mlon=31.02834" TargetMode="External"/><Relationship Id="rId86" Type="http://schemas.openxmlformats.org/officeDocument/2006/relationships/hyperlink" Target="https://www.openstreetmap.org/?mlat=-29.83742&amp;mlon=31.02539" TargetMode="External"/><Relationship Id="rId87" Type="http://schemas.openxmlformats.org/officeDocument/2006/relationships/hyperlink" Target="https://www.openstreetmap.org/?mlat=-29.81995&amp;mlon=31.02349" TargetMode="External"/><Relationship Id="rId88" Type="http://schemas.openxmlformats.org/officeDocument/2006/relationships/hyperlink" Target="https://www.openstreetmap.org/?mlat=-29.8809&amp;mlon=30.96162" TargetMode="External"/><Relationship Id="rId89" Type="http://schemas.openxmlformats.org/officeDocument/2006/relationships/hyperlink" Target="https://www.openstreetmap.org/?mlat=-29.8811&amp;mlon=30.98405" TargetMode="External"/><Relationship Id="rId90" Type="http://schemas.openxmlformats.org/officeDocument/2006/relationships/hyperlink" Target="https://www.openstreetmap.org/?mlat=-29.84165&amp;mlon=31.02967" TargetMode="External"/><Relationship Id="rId91" Type="http://schemas.openxmlformats.org/officeDocument/2006/relationships/hyperlink" Target="https://www.openstreetmap.org/?mlat=-29.84847&amp;mlon=30.99808" TargetMode="External"/><Relationship Id="rId92" Type="http://schemas.openxmlformats.org/officeDocument/2006/relationships/hyperlink" Target="https://www.openstreetmap.org/?mlat=-29.78392&amp;mlon=31.0365" TargetMode="External"/><Relationship Id="rId93" Type="http://schemas.openxmlformats.org/officeDocument/2006/relationships/hyperlink" Target="https://www.openstreetmap.org/?mlat=-29.84235&amp;mlon=31.03229" TargetMode="External"/><Relationship Id="rId94" Type="http://schemas.openxmlformats.org/officeDocument/2006/relationships/hyperlink" Target="https://www.openstreetmap.org/?mlat=-29.86984&amp;mlon=30.98953" TargetMode="External"/><Relationship Id="rId95" Type="http://schemas.openxmlformats.org/officeDocument/2006/relationships/hyperlink" Target="https://www.openstreetmap.org/?mlat=-29.85471&amp;mlon=31.00401" TargetMode="External"/><Relationship Id="rId96" Type="http://schemas.openxmlformats.org/officeDocument/2006/relationships/hyperlink" Target="https://www.openstreetmap.org/?mlat=-29.84943&amp;mlon=31.01786" TargetMode="External"/><Relationship Id="rId97" Type="http://schemas.openxmlformats.org/officeDocument/2006/relationships/hyperlink" Target="https://www.openstreetmap.org/?mlat=-29.73762&amp;mlon=30.98629" TargetMode="External"/><Relationship Id="rId98" Type="http://schemas.openxmlformats.org/officeDocument/2006/relationships/hyperlink" Target="https://www.openstreetmap.org/?mlat=-29.68685&amp;mlon=31.02189" TargetMode="External"/><Relationship Id="rId99" Type="http://schemas.openxmlformats.org/officeDocument/2006/relationships/hyperlink" Target="https://www.openstreetmap.org/?mlat=-29.6873&amp;mlon=31.02191" TargetMode="External"/><Relationship Id="rId100" Type="http://schemas.openxmlformats.org/officeDocument/2006/relationships/hyperlink" Target="https://www.openstreetmap.org/?mlat=-29.68697&amp;mlon=31.0216" TargetMode="External"/><Relationship Id="rId101" Type="http://schemas.openxmlformats.org/officeDocument/2006/relationships/hyperlink" Target="https://www.openstreetmap.org/?mlat=-29.86745&amp;mlon=31.01403" TargetMode="External"/><Relationship Id="rId102" Type="http://schemas.openxmlformats.org/officeDocument/2006/relationships/hyperlink" Target="https://www.openstreetmap.org/?mlat=-29.68356&amp;mlon=31.00382" TargetMode="External"/><Relationship Id="rId103" Type="http://schemas.openxmlformats.org/officeDocument/2006/relationships/hyperlink" Target="https://www.openstreetmap.org/?mlat=-33.02311&amp;mlon=27.89489" TargetMode="External"/><Relationship Id="rId104" Type="http://schemas.openxmlformats.org/officeDocument/2006/relationships/hyperlink" Target="https://www.openstreetmap.org/?mlat=-26.14435&amp;mlon=28.27017" TargetMode="External"/><Relationship Id="rId105" Type="http://schemas.openxmlformats.org/officeDocument/2006/relationships/hyperlink" Target="https://www.openstreetmap.org/?mlat=-25.64389&amp;mlon=30.32725" TargetMode="External"/><Relationship Id="rId106" Type="http://schemas.openxmlformats.org/officeDocument/2006/relationships/hyperlink" Target="https://www.openstreetmap.org/?mlat=-33.99026&amp;mlon=22.47407" TargetMode="External"/><Relationship Id="rId107" Type="http://schemas.openxmlformats.org/officeDocument/2006/relationships/hyperlink" Target="https://www.openstreetmap.org/?mlat=-33.97041&amp;mlon=22.46535" TargetMode="External"/><Relationship Id="rId108" Type="http://schemas.openxmlformats.org/officeDocument/2006/relationships/hyperlink" Target="https://www.openstreetmap.org/?mlat=-33.96828&amp;mlon=22.44777" TargetMode="External"/><Relationship Id="rId109" Type="http://schemas.openxmlformats.org/officeDocument/2006/relationships/hyperlink" Target="https://www.openstreetmap.org/?mlat=-33.96549&amp;mlon=25.62028" TargetMode="External"/><Relationship Id="rId110" Type="http://schemas.openxmlformats.org/officeDocument/2006/relationships/hyperlink" Target="https://www.openstreetmap.org/?mlat=-33.96238&amp;mlon=25.62293" TargetMode="External"/><Relationship Id="rId111" Type="http://schemas.openxmlformats.org/officeDocument/2006/relationships/hyperlink" Target="https://www.openstreetmap.org/?mlat=-33.96132&amp;mlon=25.62123" TargetMode="External"/><Relationship Id="rId112" Type="http://schemas.openxmlformats.org/officeDocument/2006/relationships/hyperlink" Target="https://www.openstreetmap.org/?mlat=-33.95761&amp;mlon=25.57224" TargetMode="External"/><Relationship Id="rId113" Type="http://schemas.openxmlformats.org/officeDocument/2006/relationships/hyperlink" Target="https://www.openstreetmap.org/?mlat=-33.94808&amp;mlon=25.58317" TargetMode="External"/><Relationship Id="rId114" Type="http://schemas.openxmlformats.org/officeDocument/2006/relationships/hyperlink" Target="https://www.openstreetmap.org/?mlat=-33.9818&amp;mlon=25.57938" TargetMode="External"/><Relationship Id="rId115" Type="http://schemas.openxmlformats.org/officeDocument/2006/relationships/hyperlink" Target="https://www.openstreetmap.org/?mlat=-29.0573&amp;mlon=30.59656" TargetMode="External"/><Relationship Id="rId116" Type="http://schemas.openxmlformats.org/officeDocument/2006/relationships/hyperlink" Target="https://www.openstreetmap.org/?mlat=-28.27853&amp;mlon=29.19405" TargetMode="External"/><Relationship Id="rId117" Type="http://schemas.openxmlformats.org/officeDocument/2006/relationships/hyperlink" Target="https://www.openstreetmap.org/?mlat=-26.50698&amp;mlon=28.36684" TargetMode="External"/><Relationship Id="rId118" Type="http://schemas.openxmlformats.org/officeDocument/2006/relationships/hyperlink" Target="https://www.openstreetmap.org/?mlat=-26.18989&amp;mlon=27.95768" TargetMode="External"/><Relationship Id="rId119" Type="http://schemas.openxmlformats.org/officeDocument/2006/relationships/hyperlink" Target="https://www.openstreetmap.org/?mlat=-26.25971&amp;mlon=27.94134" TargetMode="External"/><Relationship Id="rId120" Type="http://schemas.openxmlformats.org/officeDocument/2006/relationships/hyperlink" Target="https://www.openstreetmap.org/?mlat=-26.10189&amp;mlon=28.09359" TargetMode="External"/><Relationship Id="rId121" Type="http://schemas.openxmlformats.org/officeDocument/2006/relationships/hyperlink" Target="https://www.openstreetmap.org/?mlat=-26.19052&amp;mlon=28.05803" TargetMode="External"/><Relationship Id="rId122" Type="http://schemas.openxmlformats.org/officeDocument/2006/relationships/hyperlink" Target="https://www.openstreetmap.org/?mlat=-26.10834&amp;mlon=28.10848" TargetMode="External"/><Relationship Id="rId123" Type="http://schemas.openxmlformats.org/officeDocument/2006/relationships/hyperlink" Target="https://www.openstreetmap.org/?mlat=-26.10128&amp;mlon=27.98692" TargetMode="External"/><Relationship Id="rId124" Type="http://schemas.openxmlformats.org/officeDocument/2006/relationships/hyperlink" Target="https://www.openstreetmap.org/?mlat=-26.10684&amp;mlon=28.09551" TargetMode="External"/><Relationship Id="rId125" Type="http://schemas.openxmlformats.org/officeDocument/2006/relationships/hyperlink" Target="https://www.openstreetmap.org/?mlat=-26.10608&amp;mlon=28.08877" TargetMode="External"/><Relationship Id="rId126" Type="http://schemas.openxmlformats.org/officeDocument/2006/relationships/hyperlink" Target="https://www.openstreetmap.org/?mlat=-26.05166&amp;mlon=28.02127" TargetMode="External"/><Relationship Id="rId127" Type="http://schemas.openxmlformats.org/officeDocument/2006/relationships/hyperlink" Target="https://www.openstreetmap.org/?mlat=-26.11259&amp;mlon=28.09596" TargetMode="External"/><Relationship Id="rId128" Type="http://schemas.openxmlformats.org/officeDocument/2006/relationships/hyperlink" Target="https://www.openstreetmap.org/?mlat=-26.1096&amp;mlon=28.05698" TargetMode="External"/><Relationship Id="rId129" Type="http://schemas.openxmlformats.org/officeDocument/2006/relationships/hyperlink" Target="https://www.openstreetmap.org/?mlat=-26.23231&amp;mlon=28.07428" TargetMode="External"/><Relationship Id="rId130" Type="http://schemas.openxmlformats.org/officeDocument/2006/relationships/hyperlink" Target="https://www.openstreetmap.org/?mlat=-26.25758&amp;mlon=27.89434" TargetMode="External"/><Relationship Id="rId131" Type="http://schemas.openxmlformats.org/officeDocument/2006/relationships/hyperlink" Target="https://www.openstreetmap.org/?mlat=-26.03312&amp;mlon=28.07513" TargetMode="External"/><Relationship Id="rId132" Type="http://schemas.openxmlformats.org/officeDocument/2006/relationships/hyperlink" Target="https://www.openstreetmap.org/?mlat=-34.03721&amp;mlon=23.06484" TargetMode="External"/><Relationship Id="rId133" Type="http://schemas.openxmlformats.org/officeDocument/2006/relationships/hyperlink" Target="https://www.openstreetmap.org/?mlat=-29.34054&amp;mlon=31.29056" TargetMode="External"/><Relationship Id="rId134" Type="http://schemas.openxmlformats.org/officeDocument/2006/relationships/hyperlink" Target="https://www.openstreetmap.org/?mlat=-29.33884&amp;mlon=31.29515" TargetMode="External"/><Relationship Id="rId135" Type="http://schemas.openxmlformats.org/officeDocument/2006/relationships/hyperlink" Target="https://www.openstreetmap.org/?mlat=-25.76974&amp;mlon=29.46311" TargetMode="External"/><Relationship Id="rId136" Type="http://schemas.openxmlformats.org/officeDocument/2006/relationships/hyperlink" Target="https://www.openstreetmap.org/?mlat=-25.84064&amp;mlon=25.64423" TargetMode="External"/><Relationship Id="rId137" Type="http://schemas.openxmlformats.org/officeDocument/2006/relationships/hyperlink" Target="https://www.openstreetmap.org/?mlat=-24.69384&amp;mlon=28.41496" TargetMode="External"/><Relationship Id="rId138" Type="http://schemas.openxmlformats.org/officeDocument/2006/relationships/hyperlink" Target="https://www.openstreetmap.org/?mlat=-24.69947&amp;mlon=28.39507" TargetMode="External"/><Relationship Id="rId139" Type="http://schemas.openxmlformats.org/officeDocument/2006/relationships/hyperlink" Target="https://www.openstreetmap.org/?mlat=-24.70269&amp;mlon=28.40683" TargetMode="External"/><Relationship Id="rId140" Type="http://schemas.openxmlformats.org/officeDocument/2006/relationships/hyperlink" Target="https://www.openstreetmap.org/?mlat=-32.16831&amp;mlon=25.61689" TargetMode="External"/><Relationship Id="rId141" Type="http://schemas.openxmlformats.org/officeDocument/2006/relationships/hyperlink" Target="https://www.openstreetmap.org/?mlat=-29.65485&amp;mlon=30.37752" TargetMode="External"/><Relationship Id="rId142" Type="http://schemas.openxmlformats.org/officeDocument/2006/relationships/hyperlink" Target="https://www.openstreetmap.org/?mlat=-29.57979&amp;mlon=30.40115" TargetMode="External"/><Relationship Id="rId143" Type="http://schemas.openxmlformats.org/officeDocument/2006/relationships/hyperlink" Target="https://www.openstreetmap.org/?mlat=-29.60526&amp;mlon=30.38306" TargetMode="External"/><Relationship Id="rId144" Type="http://schemas.openxmlformats.org/officeDocument/2006/relationships/hyperlink" Target="https://www.openstreetmap.org/?mlat=-29.57937&amp;mlon=30.42583" TargetMode="External"/><Relationship Id="rId145" Type="http://schemas.openxmlformats.org/officeDocument/2006/relationships/hyperlink" Target="https://www.openstreetmap.org/?mlat=-29.58513&amp;mlon=30.39806" TargetMode="External"/><Relationship Id="rId146" Type="http://schemas.openxmlformats.org/officeDocument/2006/relationships/hyperlink" Target="https://www.openstreetmap.org/?mlat=-29.65664&amp;mlon=30.38357" TargetMode="External"/><Relationship Id="rId147" Type="http://schemas.openxmlformats.org/officeDocument/2006/relationships/hyperlink" Target="https://www.openstreetmap.org/?mlat=-29.58958&amp;mlon=30.4312" TargetMode="External"/><Relationship Id="rId148" Type="http://schemas.openxmlformats.org/officeDocument/2006/relationships/hyperlink" Target="https://www.openstreetmap.org/?mlat=-29.59792&amp;mlon=30.3783" TargetMode="External"/><Relationship Id="rId149" Type="http://schemas.openxmlformats.org/officeDocument/2006/relationships/hyperlink" Target="https://www.openstreetmap.org/?mlat=-29.6053&amp;mlon=30.37967" TargetMode="External"/><Relationship Id="rId150" Type="http://schemas.openxmlformats.org/officeDocument/2006/relationships/hyperlink" Target="https://www.openstreetmap.org/?mlat=-29.60438&amp;mlon=30.37818" TargetMode="External"/><Relationship Id="rId151" Type="http://schemas.openxmlformats.org/officeDocument/2006/relationships/hyperlink" Target="https://www.openstreetmap.org/?mlat=-29.59282&amp;mlon=30.39191" TargetMode="External"/><Relationship Id="rId152" Type="http://schemas.openxmlformats.org/officeDocument/2006/relationships/hyperlink" Target="https://www.openstreetmap.org/?mlat=-29.60671&amp;mlon=30.32919" TargetMode="External"/><Relationship Id="rId153" Type="http://schemas.openxmlformats.org/officeDocument/2006/relationships/hyperlink" Target="https://www.openstreetmap.org/?mlat=-29.61939&amp;mlon=30.36695" TargetMode="External"/><Relationship Id="rId154" Type="http://schemas.openxmlformats.org/officeDocument/2006/relationships/hyperlink" Target="https://www.openstreetmap.org/?mlat=-29.58569&amp;mlon=30.34961" TargetMode="External"/><Relationship Id="rId155" Type="http://schemas.openxmlformats.org/officeDocument/2006/relationships/hyperlink" Target="https://www.openstreetmap.org/?mlat=-29.59769&amp;mlon=30.3674" TargetMode="External"/><Relationship Id="rId156" Type="http://schemas.openxmlformats.org/officeDocument/2006/relationships/hyperlink" Target="https://www.openstreetmap.org/?mlat=-29.63587&amp;mlon=30.38329" TargetMode="External"/><Relationship Id="rId157" Type="http://schemas.openxmlformats.org/officeDocument/2006/relationships/hyperlink" Target="https://www.openstreetmap.org/?mlat=-29.64816&amp;mlon=30.31889" TargetMode="External"/><Relationship Id="rId158" Type="http://schemas.openxmlformats.org/officeDocument/2006/relationships/hyperlink" Target="https://www.openstreetmap.org/?mlat=-29.64677&amp;mlon=30.36678" TargetMode="External"/><Relationship Id="rId159" Type="http://schemas.openxmlformats.org/officeDocument/2006/relationships/hyperlink" Target="https://www.openstreetmap.org/?mlat=-29.61364&amp;mlon=30.39163" TargetMode="External"/><Relationship Id="rId160" Type="http://schemas.openxmlformats.org/officeDocument/2006/relationships/hyperlink" Target="https://www.openstreetmap.org/?mlat=-29.6336&amp;mlon=30.38385" TargetMode="External"/><Relationship Id="rId161" Type="http://schemas.openxmlformats.org/officeDocument/2006/relationships/hyperlink" Target="https://www.openstreetmap.org/?mlat=-29.6346&amp;mlon=30.37306" TargetMode="External"/><Relationship Id="rId162" Type="http://schemas.openxmlformats.org/officeDocument/2006/relationships/hyperlink" Target="https://www.openstreetmap.org/?mlat=-29.60856&amp;mlon=30.36827" TargetMode="External"/><Relationship Id="rId163" Type="http://schemas.openxmlformats.org/officeDocument/2006/relationships/hyperlink" Target="https://www.openstreetmap.org/?mlat=-26.70066&amp;mlon=27.10147" TargetMode="External"/><Relationship Id="rId164" Type="http://schemas.openxmlformats.org/officeDocument/2006/relationships/hyperlink" Target="https://www.openstreetmap.org/?mlat=-26.70698&amp;mlon=27.09152" TargetMode="External"/><Relationship Id="rId165" Type="http://schemas.openxmlformats.org/officeDocument/2006/relationships/hyperlink" Target="https://www.openstreetmap.org/?mlat=-26.72769&amp;mlon=27.09314" TargetMode="External"/><Relationship Id="rId166" Type="http://schemas.openxmlformats.org/officeDocument/2006/relationships/hyperlink" Target="https://www.openstreetmap.org/?mlat=-26.6943&amp;mlon=27.11429" TargetMode="External"/><Relationship Id="rId167" Type="http://schemas.openxmlformats.org/officeDocument/2006/relationships/hyperlink" Target="https://www.openstreetmap.org/?mlat=-26.71091&amp;mlon=27.09731" TargetMode="External"/><Relationship Id="rId168" Type="http://schemas.openxmlformats.org/officeDocument/2006/relationships/hyperlink" Target="https://www.openstreetmap.org/?mlat=-26.71212&amp;mlon=27.09532" TargetMode="External"/><Relationship Id="rId169" Type="http://schemas.openxmlformats.org/officeDocument/2006/relationships/hyperlink" Target="https://www.openstreetmap.org/?mlat=-26.72106&amp;mlon=27.09248" TargetMode="External"/><Relationship Id="rId170" Type="http://schemas.openxmlformats.org/officeDocument/2006/relationships/hyperlink" Target="https://www.openstreetmap.org/?mlat=-26.72468&amp;mlon=27.09821" TargetMode="External"/><Relationship Id="rId171" Type="http://schemas.openxmlformats.org/officeDocument/2006/relationships/hyperlink" Target="https://www.openstreetmap.org/?mlat=-26.69243&amp;mlon=27.09479" TargetMode="External"/><Relationship Id="rId172" Type="http://schemas.openxmlformats.org/officeDocument/2006/relationships/hyperlink" Target="https://www.openstreetmap.org/?mlat=-26.69277&amp;mlon=27.09887" TargetMode="External"/><Relationship Id="rId173" Type="http://schemas.openxmlformats.org/officeDocument/2006/relationships/hyperlink" Target="https://www.openstreetmap.org/?mlat=-26.72265&amp;mlon=27.09635" TargetMode="External"/><Relationship Id="rId174" Type="http://schemas.openxmlformats.org/officeDocument/2006/relationships/hyperlink" Target="https://www.openstreetmap.org/?mlat=-26.7161&amp;mlon=27.07675" TargetMode="External"/><Relationship Id="rId175" Type="http://schemas.openxmlformats.org/officeDocument/2006/relationships/hyperlink" Target="https://www.openstreetmap.org/?mlat=-26.70364&amp;mlon=27.0857" TargetMode="External"/><Relationship Id="rId176" Type="http://schemas.openxmlformats.org/officeDocument/2006/relationships/hyperlink" Target="https://www.openstreetmap.org/?mlat=-26.71162&amp;mlon=27.06176" TargetMode="External"/><Relationship Id="rId177" Type="http://schemas.openxmlformats.org/officeDocument/2006/relationships/hyperlink" Target="https://www.openstreetmap.org/?mlat=-25.75477&amp;mlon=28.1597" TargetMode="External"/><Relationship Id="rId178" Type="http://schemas.openxmlformats.org/officeDocument/2006/relationships/hyperlink" Target="https://www.openstreetmap.org/?mlat=-25.78244&amp;mlon=27.96048" TargetMode="External"/><Relationship Id="rId179" Type="http://schemas.openxmlformats.org/officeDocument/2006/relationships/hyperlink" Target="https://www.openstreetmap.org/?mlat=-25.69929&amp;mlon=28.17717" TargetMode="External"/><Relationship Id="rId180" Type="http://schemas.openxmlformats.org/officeDocument/2006/relationships/hyperlink" Target="https://www.openstreetmap.org/?mlat=-25.78081&amp;mlon=28.22758" TargetMode="External"/><Relationship Id="rId181" Type="http://schemas.openxmlformats.org/officeDocument/2006/relationships/hyperlink" Target="https://www.openstreetmap.org/?mlat=-25.74939&amp;mlon=28.18832" TargetMode="External"/><Relationship Id="rId182" Type="http://schemas.openxmlformats.org/officeDocument/2006/relationships/hyperlink" Target="https://www.openstreetmap.org/?mlat=-25.74609&amp;mlon=28.19356" TargetMode="External"/><Relationship Id="rId183" Type="http://schemas.openxmlformats.org/officeDocument/2006/relationships/hyperlink" Target="https://www.openstreetmap.org/?mlat=-25.7697&amp;mlon=28.23524" TargetMode="External"/><Relationship Id="rId184" Type="http://schemas.openxmlformats.org/officeDocument/2006/relationships/hyperlink" Target="https://www.openstreetmap.org/?mlat=-25.77395&amp;mlon=28.29014" TargetMode="External"/><Relationship Id="rId185" Type="http://schemas.openxmlformats.org/officeDocument/2006/relationships/hyperlink" Target="https://www.openstreetmap.org/?mlat=-25.75495&amp;mlon=28.18182" TargetMode="External"/><Relationship Id="rId186" Type="http://schemas.openxmlformats.org/officeDocument/2006/relationships/hyperlink" Target="https://www.openstreetmap.org/?mlat=-25.71229&amp;mlon=28.20311" TargetMode="External"/><Relationship Id="rId187" Type="http://schemas.openxmlformats.org/officeDocument/2006/relationships/hyperlink" Target="https://www.openstreetmap.org/?mlat=-25.74297&amp;mlon=28.19541" TargetMode="External"/><Relationship Id="rId188" Type="http://schemas.openxmlformats.org/officeDocument/2006/relationships/hyperlink" Target="https://www.openstreetmap.org/?mlat=-25.76047&amp;mlon=28.21878" TargetMode="External"/><Relationship Id="rId189" Type="http://schemas.openxmlformats.org/officeDocument/2006/relationships/hyperlink" Target="https://www.openstreetmap.org/?mlat=-25.76938&amp;mlon=28.24602" TargetMode="External"/><Relationship Id="rId190" Type="http://schemas.openxmlformats.org/officeDocument/2006/relationships/hyperlink" Target="https://www.openstreetmap.org/?mlat=-25.75106&amp;mlon=28.18108" TargetMode="External"/><Relationship Id="rId191" Type="http://schemas.openxmlformats.org/officeDocument/2006/relationships/hyperlink" Target="https://www.openstreetmap.org/?mlat=-25.75832&amp;mlon=28.19375" TargetMode="External"/><Relationship Id="rId192" Type="http://schemas.openxmlformats.org/officeDocument/2006/relationships/hyperlink" Target="https://www.openstreetmap.org/?mlat=-25.74531&amp;mlon=28.18306" TargetMode="External"/><Relationship Id="rId193" Type="http://schemas.openxmlformats.org/officeDocument/2006/relationships/hyperlink" Target="https://www.openstreetmap.org/?mlat=-25.75039&amp;mlon=28.19536" TargetMode="External"/><Relationship Id="rId194" Type="http://schemas.openxmlformats.org/officeDocument/2006/relationships/hyperlink" Target="https://www.openstreetmap.org/?mlat=-25.71919&amp;mlon=28.21451" TargetMode="External"/><Relationship Id="rId195" Type="http://schemas.openxmlformats.org/officeDocument/2006/relationships/hyperlink" Target="https://www.openstreetmap.org/?mlat=-25.75255&amp;mlon=28.20397" TargetMode="External"/><Relationship Id="rId196" Type="http://schemas.openxmlformats.org/officeDocument/2006/relationships/hyperlink" Target="https://www.openstreetmap.org/?mlat=-25.68105&amp;mlon=28.22144" TargetMode="External"/><Relationship Id="rId197" Type="http://schemas.openxmlformats.org/officeDocument/2006/relationships/hyperlink" Target="https://www.openstreetmap.org/?mlat=-25.7373&amp;mlon=28.19775" TargetMode="External"/><Relationship Id="rId198" Type="http://schemas.openxmlformats.org/officeDocument/2006/relationships/hyperlink" Target="https://www.openstreetmap.org/?mlat=-25.81454&amp;mlon=28.23801" TargetMode="External"/><Relationship Id="rId199" Type="http://schemas.openxmlformats.org/officeDocument/2006/relationships/hyperlink" Target="https://www.openstreetmap.org/?mlat=-25.73882&amp;mlon=28.18203" TargetMode="External"/><Relationship Id="rId200" Type="http://schemas.openxmlformats.org/officeDocument/2006/relationships/hyperlink" Target="https://www.openstreetmap.org/?mlat=-25.73961&amp;mlon=28.26255" TargetMode="External"/><Relationship Id="rId201" Type="http://schemas.openxmlformats.org/officeDocument/2006/relationships/hyperlink" Target="https://www.openstreetmap.org/?mlat=-25.70418&amp;mlon=28.20024" TargetMode="External"/><Relationship Id="rId202" Type="http://schemas.openxmlformats.org/officeDocument/2006/relationships/hyperlink" Target="https://www.openstreetmap.org/?mlat=-25.73502&amp;mlon=28.20349" TargetMode="External"/><Relationship Id="rId203" Type="http://schemas.openxmlformats.org/officeDocument/2006/relationships/hyperlink" Target="https://www.openstreetmap.org/?mlat=-25.75581&amp;mlon=28.20134" TargetMode="External"/><Relationship Id="rId204" Type="http://schemas.openxmlformats.org/officeDocument/2006/relationships/hyperlink" Target="https://www.openstreetmap.org/?mlat=-25.73974&amp;mlon=28.18995" TargetMode="External"/><Relationship Id="rId205" Type="http://schemas.openxmlformats.org/officeDocument/2006/relationships/hyperlink" Target="https://www.openstreetmap.org/?mlat=-25.75345&amp;mlon=28.11152" TargetMode="External"/><Relationship Id="rId206" Type="http://schemas.openxmlformats.org/officeDocument/2006/relationships/hyperlink" Target="https://www.openstreetmap.org/?mlat=-25.73998&amp;mlon=28.19505" TargetMode="External"/><Relationship Id="rId207" Type="http://schemas.openxmlformats.org/officeDocument/2006/relationships/hyperlink" Target="https://www.openstreetmap.org/?mlat=-25.7384&amp;mlon=28.26717" TargetMode="External"/><Relationship Id="rId208" Type="http://schemas.openxmlformats.org/officeDocument/2006/relationships/hyperlink" Target="https://www.openstreetmap.org/?mlat=-25.76049&amp;mlon=28.19979" TargetMode="External"/><Relationship Id="rId209" Type="http://schemas.openxmlformats.org/officeDocument/2006/relationships/hyperlink" Target="https://www.openstreetmap.org/?mlat=-25.79688&amp;mlon=28.4074" TargetMode="External"/><Relationship Id="rId210" Type="http://schemas.openxmlformats.org/officeDocument/2006/relationships/hyperlink" Target="https://www.openstreetmap.org/?mlat=-25.75241&amp;mlon=28.17553" TargetMode="External"/><Relationship Id="rId211" Type="http://schemas.openxmlformats.org/officeDocument/2006/relationships/hyperlink" Target="https://www.openstreetmap.org/?mlat=-25.73772&amp;mlon=28.19737" TargetMode="External"/><Relationship Id="rId212" Type="http://schemas.openxmlformats.org/officeDocument/2006/relationships/hyperlink" Target="https://www.openstreetmap.org/?mlat=-25.75229&amp;mlon=28.20317" TargetMode="External"/><Relationship Id="rId213" Type="http://schemas.openxmlformats.org/officeDocument/2006/relationships/hyperlink" Target="https://www.openstreetmap.org/?mlat=-25.81546&amp;mlon=28.20797" TargetMode="External"/><Relationship Id="rId214" Type="http://schemas.openxmlformats.org/officeDocument/2006/relationships/hyperlink" Target="https://www.openstreetmap.org/?mlat=-33.96449&amp;mlon=24.02098" TargetMode="External"/><Relationship Id="rId215" Type="http://schemas.openxmlformats.org/officeDocument/2006/relationships/hyperlink" Target="https://www.openstreetmap.org/?mlat=-26.70357&amp;mlon=27.82884" TargetMode="External"/><Relationship Id="rId216" Type="http://schemas.openxmlformats.org/officeDocument/2006/relationships/hyperlink" Target="https://www.openstreetmap.org/?mlat=-27.36579&amp;mlon=29.88609" TargetMode="External"/><Relationship Id="rId217" Type="http://schemas.openxmlformats.org/officeDocument/2006/relationships/hyperlink" Target="https://www.openstreetmap.org/?mlat=-33.62954&amp;mlon=19.45545" TargetMode="External"/><Relationship Id="rId218" Type="http://schemas.openxmlformats.org/officeDocument/2006/relationships/hyperlink" Target="https://www.openstreetmap.org/?mlat=-30.30033&amp;mlon=27.07844" TargetMode="External"/><Relationship Id="rId219" Type="http://schemas.openxmlformats.org/officeDocument/2006/relationships/drawing" Target="../drawings/drawing1.xml"/><Relationship Id="rId220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openstreetmap.org/copyright" TargetMode="External"/><Relationship Id="rId2" Type="http://schemas.openxmlformats.org/officeDocument/2006/relationships/hyperlink" Target="https://www.sanews.gov.za/south-africa/tshwane-metro-proceed-street-name-changes" TargetMode="External"/><Relationship Id="rId3" Type="http://schemas.openxmlformats.org/officeDocument/2006/relationships/hyperlink" Target="https://www.theheritageportal.co.za/article/deeper-look-johannesburgs-new-street-names" TargetMode="External"/><Relationship Id="rId4" Type="http://schemas.openxmlformats.org/officeDocument/2006/relationships/hyperlink" Target="https://businesstech.co.za/news/government/528874/these-44-roads-in-ekurhuleni-are-getting-a-name-change-what-you-need-to-know/" TargetMode="External"/><Relationship Id="rId5" Type="http://schemas.openxmlformats.org/officeDocument/2006/relationships/hyperlink" Target="https://iol.co.za/news/south-africa/kwazulu-natal/2011-12-01-nine-street-names-to-revert/" TargetMode="External"/><Relationship Id="rId6" Type="http://schemas.openxmlformats.org/officeDocument/2006/relationships/hyperlink" Target="https://lawlibrary.org.za/akn/za/judgment/zasca/2011/22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30" hidden="false" customHeight="true" outlineLevel="0" collapsed="false">
      <c r="A12" s="5" t="s">
        <v>9</v>
      </c>
      <c r="B12" s="6" t="s">
        <v>10</v>
      </c>
      <c r="C12" s="6" t="s">
        <v>11</v>
      </c>
      <c r="D12" s="6" t="s">
        <v>12</v>
      </c>
      <c r="E12" s="6" t="s">
        <v>13</v>
      </c>
      <c r="F12" s="6" t="s">
        <v>14</v>
      </c>
      <c r="G12" s="6" t="s">
        <v>15</v>
      </c>
    </row>
    <row r="13" customFormat="false" ht="15" hidden="false" customHeight="false" outlineLevel="0" collapsed="false">
      <c r="A13" s="7" t="s">
        <v>16</v>
      </c>
      <c r="B13" s="8" t="n">
        <f aca="false">COUNTIFS(Streets!$A$2:$A$255,$A13,Streets!$E$2:$E$255,"Keep")</f>
        <v>64</v>
      </c>
      <c r="C13" s="8" t="n">
        <f aca="false">COUNTIFS(Streets!$A$2:$A$255,$A13,Streets!$E$2:$E$255,"Add")</f>
        <v>0</v>
      </c>
      <c r="D13" s="8" t="n">
        <f aca="false">COUNTIFS(Streets!$A$2:$A$255,$A13,Streets!$E$2:$E$255,"Check")</f>
        <v>2</v>
      </c>
      <c r="E13" s="8" t="n">
        <f aca="false">COUNTIFS(Streets!$A$2:$A$255,$A13,Streets!$E$2:$E$255,"Drop")</f>
        <v>6</v>
      </c>
      <c r="F13" s="8" t="n">
        <f aca="false">COUNTIFS(Streets!$A$2:$A$255,$A13,Streets!$F$2:$F$255,"Keep")</f>
        <v>0</v>
      </c>
      <c r="G13" s="8" t="n">
        <f aca="false">COUNTIFS(Streets!$A$2:$A$255,$A13,Streets!$F$2:$F$255,"")</f>
        <v>72</v>
      </c>
    </row>
    <row r="14" customFormat="false" ht="15" hidden="false" customHeight="false" outlineLevel="0" collapsed="false">
      <c r="A14" s="7" t="s">
        <v>17</v>
      </c>
      <c r="B14" s="8" t="n">
        <f aca="false">COUNTIFS(Streets!$A$2:$A$255,$A14,Streets!$E$2:$E$255,"Keep")</f>
        <v>29</v>
      </c>
      <c r="C14" s="8" t="n">
        <f aca="false">COUNTIFS(Streets!$A$2:$A$255,$A14,Streets!$E$2:$E$255,"Add")</f>
        <v>2</v>
      </c>
      <c r="D14" s="8" t="n">
        <f aca="false">COUNTIFS(Streets!$A$2:$A$255,$A14,Streets!$E$2:$E$255,"Check")</f>
        <v>0</v>
      </c>
      <c r="E14" s="8" t="n">
        <f aca="false">COUNTIFS(Streets!$A$2:$A$255,$A14,Streets!$E$2:$E$255,"Drop")</f>
        <v>8</v>
      </c>
      <c r="F14" s="8" t="n">
        <f aca="false">COUNTIFS(Streets!$A$2:$A$255,$A14,Streets!$F$2:$F$255,"Keep")</f>
        <v>0</v>
      </c>
      <c r="G14" s="8" t="n">
        <f aca="false">COUNTIFS(Streets!$A$2:$A$255,$A14,Streets!$F$2:$F$255,"")</f>
        <v>39</v>
      </c>
    </row>
    <row r="15" customFormat="false" ht="15" hidden="false" customHeight="false" outlineLevel="0" collapsed="false">
      <c r="A15" s="7" t="s">
        <v>18</v>
      </c>
      <c r="B15" s="8" t="n">
        <f aca="false">COUNTIFS(Streets!$A$2:$A$255,$A15,Streets!$E$2:$E$255,"Keep")</f>
        <v>1</v>
      </c>
      <c r="C15" s="8" t="n">
        <f aca="false">COUNTIFS(Streets!$A$2:$A$255,$A15,Streets!$E$2:$E$255,"Add")</f>
        <v>29</v>
      </c>
      <c r="D15" s="8" t="n">
        <f aca="false">COUNTIFS(Streets!$A$2:$A$255,$A15,Streets!$E$2:$E$255,"Check")</f>
        <v>0</v>
      </c>
      <c r="E15" s="8" t="n">
        <f aca="false">COUNTIFS(Streets!$A$2:$A$255,$A15,Streets!$E$2:$E$255,"Drop")</f>
        <v>0</v>
      </c>
      <c r="F15" s="8" t="n">
        <f aca="false">COUNTIFS(Streets!$A$2:$A$255,$A15,Streets!$F$2:$F$255,"Keep")</f>
        <v>0</v>
      </c>
      <c r="G15" s="8" t="n">
        <f aca="false">COUNTIFS(Streets!$A$2:$A$255,$A15,Streets!$F$2:$F$255,"")</f>
        <v>30</v>
      </c>
    </row>
    <row r="16" customFormat="false" ht="15" hidden="false" customHeight="false" outlineLevel="0" collapsed="false">
      <c r="A16" s="7" t="s">
        <v>19</v>
      </c>
      <c r="B16" s="8" t="n">
        <f aca="false">COUNTIFS(Streets!$A$2:$A$255,$A16,Streets!$E$2:$E$255,"Keep")</f>
        <v>18</v>
      </c>
      <c r="C16" s="8" t="n">
        <f aca="false">COUNTIFS(Streets!$A$2:$A$255,$A16,Streets!$E$2:$E$255,"Add")</f>
        <v>0</v>
      </c>
      <c r="D16" s="8" t="n">
        <f aca="false">COUNTIFS(Streets!$A$2:$A$255,$A16,Streets!$E$2:$E$255,"Check")</f>
        <v>1</v>
      </c>
      <c r="E16" s="8" t="n">
        <f aca="false">COUNTIFS(Streets!$A$2:$A$255,$A16,Streets!$E$2:$E$255,"Drop")</f>
        <v>3</v>
      </c>
      <c r="F16" s="8" t="n">
        <f aca="false">COUNTIFS(Streets!$A$2:$A$255,$A16,Streets!$F$2:$F$255,"Keep")</f>
        <v>0</v>
      </c>
      <c r="G16" s="8" t="n">
        <f aca="false">COUNTIFS(Streets!$A$2:$A$255,$A16,Streets!$F$2:$F$255,"")</f>
        <v>22</v>
      </c>
    </row>
    <row r="17" customFormat="false" ht="15" hidden="false" customHeight="false" outlineLevel="0" collapsed="false">
      <c r="A17" s="7" t="s">
        <v>20</v>
      </c>
      <c r="B17" s="8" t="n">
        <f aca="false">COUNTIFS(Streets!$A$2:$A$255,$A17,Streets!$E$2:$E$255,"Keep")</f>
        <v>9</v>
      </c>
      <c r="C17" s="8" t="n">
        <f aca="false">COUNTIFS(Streets!$A$2:$A$255,$A17,Streets!$E$2:$E$255,"Add")</f>
        <v>6</v>
      </c>
      <c r="D17" s="8" t="n">
        <f aca="false">COUNTIFS(Streets!$A$2:$A$255,$A17,Streets!$E$2:$E$255,"Check")</f>
        <v>0</v>
      </c>
      <c r="E17" s="8" t="n">
        <f aca="false">COUNTIFS(Streets!$A$2:$A$255,$A17,Streets!$E$2:$E$255,"Drop")</f>
        <v>5</v>
      </c>
      <c r="F17" s="8" t="n">
        <f aca="false">COUNTIFS(Streets!$A$2:$A$255,$A17,Streets!$F$2:$F$255,"Keep")</f>
        <v>0</v>
      </c>
      <c r="G17" s="8" t="n">
        <f aca="false">COUNTIFS(Streets!$A$2:$A$255,$A17,Streets!$F$2:$F$255,"")</f>
        <v>20</v>
      </c>
    </row>
    <row r="18" customFormat="false" ht="15" hidden="false" customHeight="false" outlineLevel="0" collapsed="false">
      <c r="A18" s="7" t="s">
        <v>21</v>
      </c>
      <c r="B18" s="8" t="n">
        <f aca="false">COUNTIFS(Streets!$A$2:$A$255,$A18,Streets!$E$2:$E$255,"Keep")</f>
        <v>14</v>
      </c>
      <c r="C18" s="8" t="n">
        <f aca="false">COUNTIFS(Streets!$A$2:$A$255,$A18,Streets!$E$2:$E$255,"Add")</f>
        <v>0</v>
      </c>
      <c r="D18" s="8" t="n">
        <f aca="false">COUNTIFS(Streets!$A$2:$A$255,$A18,Streets!$E$2:$E$255,"Check")</f>
        <v>2</v>
      </c>
      <c r="E18" s="8" t="n">
        <f aca="false">COUNTIFS(Streets!$A$2:$A$255,$A18,Streets!$E$2:$E$255,"Drop")</f>
        <v>8</v>
      </c>
      <c r="F18" s="8" t="n">
        <f aca="false">COUNTIFS(Streets!$A$2:$A$255,$A18,Streets!$F$2:$F$255,"Keep")</f>
        <v>0</v>
      </c>
      <c r="G18" s="8" t="n">
        <f aca="false">COUNTIFS(Streets!$A$2:$A$255,$A18,Streets!$F$2:$F$255,"")</f>
        <v>24</v>
      </c>
    </row>
    <row r="19" customFormat="false" ht="15" hidden="false" customHeight="false" outlineLevel="0" collapsed="false">
      <c r="A19" s="7" t="s">
        <v>22</v>
      </c>
      <c r="B19" s="8" t="n">
        <f aca="false">COUNTIFS(Streets!$A$2:$A$255,$A19,Streets!$E$2:$E$255,"Keep")</f>
        <v>11</v>
      </c>
      <c r="C19" s="8" t="n">
        <f aca="false">COUNTIFS(Streets!$A$2:$A$255,$A19,Streets!$E$2:$E$255,"Add")</f>
        <v>0</v>
      </c>
      <c r="D19" s="8" t="n">
        <f aca="false">COUNTIFS(Streets!$A$2:$A$255,$A19,Streets!$E$2:$E$255,"Check")</f>
        <v>3</v>
      </c>
      <c r="E19" s="8" t="n">
        <f aca="false">COUNTIFS(Streets!$A$2:$A$255,$A19,Streets!$E$2:$E$255,"Drop")</f>
        <v>0</v>
      </c>
      <c r="F19" s="8" t="n">
        <f aca="false">COUNTIFS(Streets!$A$2:$A$255,$A19,Streets!$F$2:$F$255,"Keep")</f>
        <v>0</v>
      </c>
      <c r="G19" s="8" t="n">
        <f aca="false">COUNTIFS(Streets!$A$2:$A$255,$A19,Streets!$F$2:$F$255,"")</f>
        <v>14</v>
      </c>
    </row>
    <row r="20" customFormat="false" ht="15" hidden="false" customHeight="false" outlineLevel="0" collapsed="false">
      <c r="A20" s="7" t="s">
        <v>23</v>
      </c>
      <c r="B20" s="8" t="n">
        <f aca="false">COUNTIFS(Streets!$A$2:$A$255,$A20,Streets!$E$2:$E$255,"Keep")</f>
        <v>3</v>
      </c>
      <c r="C20" s="8" t="n">
        <f aca="false">COUNTIFS(Streets!$A$2:$A$255,$A20,Streets!$E$2:$E$255,"Add")</f>
        <v>0</v>
      </c>
      <c r="D20" s="8" t="n">
        <f aca="false">COUNTIFS(Streets!$A$2:$A$255,$A20,Streets!$E$2:$E$255,"Check")</f>
        <v>0</v>
      </c>
      <c r="E20" s="8" t="n">
        <f aca="false">COUNTIFS(Streets!$A$2:$A$255,$A20,Streets!$E$2:$E$255,"Drop")</f>
        <v>3</v>
      </c>
      <c r="F20" s="8" t="n">
        <f aca="false">COUNTIFS(Streets!$A$2:$A$255,$A20,Streets!$F$2:$F$255,"Keep")</f>
        <v>0</v>
      </c>
      <c r="G20" s="8" t="n">
        <f aca="false">COUNTIFS(Streets!$A$2:$A$255,$A20,Streets!$F$2:$F$255,"")</f>
        <v>6</v>
      </c>
    </row>
    <row r="21" customFormat="false" ht="15" hidden="false" customHeight="false" outlineLevel="0" collapsed="false">
      <c r="A21" s="7" t="s">
        <v>24</v>
      </c>
      <c r="B21" s="8" t="n">
        <f aca="false">COUNTIFS(Streets!$A$2:$A$255,$A21,Streets!$E$2:$E$255,"Keep")</f>
        <v>3</v>
      </c>
      <c r="C21" s="8" t="n">
        <f aca="false">COUNTIFS(Streets!$A$2:$A$255,$A21,Streets!$E$2:$E$255,"Add")</f>
        <v>0</v>
      </c>
      <c r="D21" s="8" t="n">
        <f aca="false">COUNTIFS(Streets!$A$2:$A$255,$A21,Streets!$E$2:$E$255,"Check")</f>
        <v>0</v>
      </c>
      <c r="E21" s="8" t="n">
        <f aca="false">COUNTIFS(Streets!$A$2:$A$255,$A21,Streets!$E$2:$E$255,"Drop")</f>
        <v>0</v>
      </c>
      <c r="F21" s="8" t="n">
        <f aca="false">COUNTIFS(Streets!$A$2:$A$255,$A21,Streets!$F$2:$F$255,"Keep")</f>
        <v>0</v>
      </c>
      <c r="G21" s="8" t="n">
        <f aca="false">COUNTIFS(Streets!$A$2:$A$255,$A21,Streets!$F$2:$F$255,"")</f>
        <v>3</v>
      </c>
    </row>
    <row r="22" customFormat="false" ht="15" hidden="false" customHeight="false" outlineLevel="0" collapsed="false">
      <c r="A22" s="7" t="s">
        <v>25</v>
      </c>
      <c r="B22" s="8" t="n">
        <f aca="false">COUNTIFS(Streets!$A$2:$A$255,$A22,Streets!$E$2:$E$255,"Keep")</f>
        <v>2</v>
      </c>
      <c r="C22" s="8" t="n">
        <f aca="false">COUNTIFS(Streets!$A$2:$A$255,$A22,Streets!$E$2:$E$255,"Add")</f>
        <v>0</v>
      </c>
      <c r="D22" s="8" t="n">
        <f aca="false">COUNTIFS(Streets!$A$2:$A$255,$A22,Streets!$E$2:$E$255,"Check")</f>
        <v>0</v>
      </c>
      <c r="E22" s="8" t="n">
        <f aca="false">COUNTIFS(Streets!$A$2:$A$255,$A22,Streets!$E$2:$E$255,"Drop")</f>
        <v>0</v>
      </c>
      <c r="F22" s="8" t="n">
        <f aca="false">COUNTIFS(Streets!$A$2:$A$255,$A22,Streets!$F$2:$F$255,"Keep")</f>
        <v>0</v>
      </c>
      <c r="G22" s="8" t="n">
        <f aca="false">COUNTIFS(Streets!$A$2:$A$255,$A22,Streets!$F$2:$F$255,"")</f>
        <v>2</v>
      </c>
    </row>
    <row r="23" customFormat="false" ht="15" hidden="false" customHeight="false" outlineLevel="0" collapsed="false">
      <c r="A23" s="7" t="s">
        <v>26</v>
      </c>
      <c r="B23" s="8" t="n">
        <f aca="false">COUNTIFS(Streets!$A$2:$A$255,$A23,Streets!$E$2:$E$255,"Keep")</f>
        <v>1</v>
      </c>
      <c r="C23" s="8" t="n">
        <f aca="false">COUNTIFS(Streets!$A$2:$A$255,$A23,Streets!$E$2:$E$255,"Add")</f>
        <v>0</v>
      </c>
      <c r="D23" s="8" t="n">
        <f aca="false">COUNTIFS(Streets!$A$2:$A$255,$A23,Streets!$E$2:$E$255,"Check")</f>
        <v>0</v>
      </c>
      <c r="E23" s="8" t="n">
        <f aca="false">COUNTIFS(Streets!$A$2:$A$255,$A23,Streets!$E$2:$E$255,"Drop")</f>
        <v>0</v>
      </c>
      <c r="F23" s="8" t="n">
        <f aca="false">COUNTIFS(Streets!$A$2:$A$255,$A23,Streets!$F$2:$F$255,"Keep")</f>
        <v>0</v>
      </c>
      <c r="G23" s="8" t="n">
        <f aca="false">COUNTIFS(Streets!$A$2:$A$255,$A23,Streets!$F$2:$F$255,"")</f>
        <v>1</v>
      </c>
    </row>
    <row r="24" customFormat="false" ht="15" hidden="false" customHeight="false" outlineLevel="0" collapsed="false">
      <c r="A24" s="7" t="s">
        <v>27</v>
      </c>
      <c r="B24" s="8" t="n">
        <f aca="false">COUNTIFS(Streets!$A$2:$A$255,$A24,Streets!$E$2:$E$255,"Keep")</f>
        <v>1</v>
      </c>
      <c r="C24" s="8" t="n">
        <f aca="false">COUNTIFS(Streets!$A$2:$A$255,$A24,Streets!$E$2:$E$255,"Add")</f>
        <v>0</v>
      </c>
      <c r="D24" s="8" t="n">
        <f aca="false">COUNTIFS(Streets!$A$2:$A$255,$A24,Streets!$E$2:$E$255,"Check")</f>
        <v>1</v>
      </c>
      <c r="E24" s="8" t="n">
        <f aca="false">COUNTIFS(Streets!$A$2:$A$255,$A24,Streets!$E$2:$E$255,"Drop")</f>
        <v>2</v>
      </c>
      <c r="F24" s="8" t="n">
        <f aca="false">COUNTIFS(Streets!$A$2:$A$255,$A24,Streets!$F$2:$F$255,"Keep")</f>
        <v>0</v>
      </c>
      <c r="G24" s="8" t="n">
        <f aca="false">COUNTIFS(Streets!$A$2:$A$255,$A24,Streets!$F$2:$F$255,"")</f>
        <v>4</v>
      </c>
    </row>
    <row r="25" customFormat="false" ht="15" hidden="false" customHeight="false" outlineLevel="0" collapsed="false">
      <c r="A25" s="7" t="s">
        <v>28</v>
      </c>
      <c r="B25" s="8" t="n">
        <f aca="false">COUNTIFS(Streets!$A$2:$A$255,$A25,Streets!$E$2:$E$255,"Keep")</f>
        <v>1</v>
      </c>
      <c r="C25" s="8" t="n">
        <f aca="false">COUNTIFS(Streets!$A$2:$A$255,$A25,Streets!$E$2:$E$255,"Add")</f>
        <v>0</v>
      </c>
      <c r="D25" s="8" t="n">
        <f aca="false">COUNTIFS(Streets!$A$2:$A$255,$A25,Streets!$E$2:$E$255,"Check")</f>
        <v>1</v>
      </c>
      <c r="E25" s="8" t="n">
        <f aca="false">COUNTIFS(Streets!$A$2:$A$255,$A25,Streets!$E$2:$E$255,"Drop")</f>
        <v>1</v>
      </c>
      <c r="F25" s="8" t="n">
        <f aca="false">COUNTIFS(Streets!$A$2:$A$255,$A25,Streets!$F$2:$F$255,"Keep")</f>
        <v>0</v>
      </c>
      <c r="G25" s="8" t="n">
        <f aca="false">COUNTIFS(Streets!$A$2:$A$255,$A25,Streets!$F$2:$F$255,"")</f>
        <v>3</v>
      </c>
    </row>
    <row r="26" customFormat="false" ht="15" hidden="false" customHeight="false" outlineLevel="0" collapsed="false">
      <c r="A26" s="7" t="s">
        <v>29</v>
      </c>
      <c r="B26" s="8" t="n">
        <f aca="false">COUNTIFS(Streets!$A$2:$A$255,$A26,Streets!$E$2:$E$255,"Keep")</f>
        <v>1</v>
      </c>
      <c r="C26" s="8" t="n">
        <f aca="false">COUNTIFS(Streets!$A$2:$A$255,$A26,Streets!$E$2:$E$255,"Add")</f>
        <v>0</v>
      </c>
      <c r="D26" s="8" t="n">
        <f aca="false">COUNTIFS(Streets!$A$2:$A$255,$A26,Streets!$E$2:$E$255,"Check")</f>
        <v>0</v>
      </c>
      <c r="E26" s="8" t="n">
        <f aca="false">COUNTIFS(Streets!$A$2:$A$255,$A26,Streets!$E$2:$E$255,"Drop")</f>
        <v>0</v>
      </c>
      <c r="F26" s="8" t="n">
        <f aca="false">COUNTIFS(Streets!$A$2:$A$255,$A26,Streets!$F$2:$F$255,"Keep")</f>
        <v>0</v>
      </c>
      <c r="G26" s="8" t="n">
        <f aca="false">COUNTIFS(Streets!$A$2:$A$255,$A26,Streets!$F$2:$F$255,"")</f>
        <v>1</v>
      </c>
    </row>
    <row r="27" customFormat="false" ht="15" hidden="false" customHeight="false" outlineLevel="0" collapsed="false">
      <c r="A27" s="7" t="s">
        <v>30</v>
      </c>
      <c r="B27" s="8" t="n">
        <f aca="false">COUNTIFS(Streets!$A$2:$A$255,$A27,Streets!$E$2:$E$255,"Keep")</f>
        <v>1</v>
      </c>
      <c r="C27" s="8" t="n">
        <f aca="false">COUNTIFS(Streets!$A$2:$A$255,$A27,Streets!$E$2:$E$255,"Add")</f>
        <v>0</v>
      </c>
      <c r="D27" s="8" t="n">
        <f aca="false">COUNTIFS(Streets!$A$2:$A$255,$A27,Streets!$E$2:$E$255,"Check")</f>
        <v>0</v>
      </c>
      <c r="E27" s="8" t="n">
        <f aca="false">COUNTIFS(Streets!$A$2:$A$255,$A27,Streets!$E$2:$E$255,"Drop")</f>
        <v>0</v>
      </c>
      <c r="F27" s="8" t="n">
        <f aca="false">COUNTIFS(Streets!$A$2:$A$255,$A27,Streets!$F$2:$F$255,"Keep")</f>
        <v>0</v>
      </c>
      <c r="G27" s="8" t="n">
        <f aca="false">COUNTIFS(Streets!$A$2:$A$255,$A27,Streets!$F$2:$F$255,"")</f>
        <v>1</v>
      </c>
    </row>
    <row r="28" customFormat="false" ht="15" hidden="false" customHeight="false" outlineLevel="0" collapsed="false">
      <c r="A28" s="7" t="s">
        <v>31</v>
      </c>
      <c r="B28" s="8" t="n">
        <f aca="false">COUNTIFS(Streets!$A$2:$A$255,$A28,Streets!$E$2:$E$255,"Keep")</f>
        <v>1</v>
      </c>
      <c r="C28" s="8" t="n">
        <f aca="false">COUNTIFS(Streets!$A$2:$A$255,$A28,Streets!$E$2:$E$255,"Add")</f>
        <v>0</v>
      </c>
      <c r="D28" s="8" t="n">
        <f aca="false">COUNTIFS(Streets!$A$2:$A$255,$A28,Streets!$E$2:$E$255,"Check")</f>
        <v>0</v>
      </c>
      <c r="E28" s="8" t="n">
        <f aca="false">COUNTIFS(Streets!$A$2:$A$255,$A28,Streets!$E$2:$E$255,"Drop")</f>
        <v>0</v>
      </c>
      <c r="F28" s="8" t="n">
        <f aca="false">COUNTIFS(Streets!$A$2:$A$255,$A28,Streets!$F$2:$F$255,"Keep")</f>
        <v>0</v>
      </c>
      <c r="G28" s="8" t="n">
        <f aca="false">COUNTIFS(Streets!$A$2:$A$255,$A28,Streets!$F$2:$F$255,"")</f>
        <v>1</v>
      </c>
    </row>
    <row r="29" customFormat="false" ht="15" hidden="false" customHeight="false" outlineLevel="0" collapsed="false">
      <c r="A29" s="7" t="s">
        <v>32</v>
      </c>
      <c r="B29" s="8" t="n">
        <f aca="false">COUNTIFS(Streets!$A$2:$A$255,$A29,Streets!$E$2:$E$255,"Keep")</f>
        <v>0</v>
      </c>
      <c r="C29" s="8" t="n">
        <f aca="false">COUNTIFS(Streets!$A$2:$A$255,$A29,Streets!$E$2:$E$255,"Add")</f>
        <v>0</v>
      </c>
      <c r="D29" s="8" t="n">
        <f aca="false">COUNTIFS(Streets!$A$2:$A$255,$A29,Streets!$E$2:$E$255,"Check")</f>
        <v>1</v>
      </c>
      <c r="E29" s="8" t="n">
        <f aca="false">COUNTIFS(Streets!$A$2:$A$255,$A29,Streets!$E$2:$E$255,"Drop")</f>
        <v>0</v>
      </c>
      <c r="F29" s="8" t="n">
        <f aca="false">COUNTIFS(Streets!$A$2:$A$255,$A29,Streets!$F$2:$F$255,"Keep")</f>
        <v>0</v>
      </c>
      <c r="G29" s="8" t="n">
        <f aca="false">COUNTIFS(Streets!$A$2:$A$255,$A29,Streets!$F$2:$F$255,"")</f>
        <v>1</v>
      </c>
    </row>
    <row r="30" customFormat="false" ht="15" hidden="false" customHeight="false" outlineLevel="0" collapsed="false">
      <c r="A30" s="7" t="s">
        <v>33</v>
      </c>
      <c r="B30" s="8" t="n">
        <f aca="false">COUNTIFS(Streets!$A$2:$A$255,$A30,Streets!$E$2:$E$255,"Keep")</f>
        <v>0</v>
      </c>
      <c r="C30" s="8" t="n">
        <f aca="false">COUNTIFS(Streets!$A$2:$A$255,$A30,Streets!$E$2:$E$255,"Add")</f>
        <v>0</v>
      </c>
      <c r="D30" s="8" t="n">
        <f aca="false">COUNTIFS(Streets!$A$2:$A$255,$A30,Streets!$E$2:$E$255,"Check")</f>
        <v>1</v>
      </c>
      <c r="E30" s="8" t="n">
        <f aca="false">COUNTIFS(Streets!$A$2:$A$255,$A30,Streets!$E$2:$E$255,"Drop")</f>
        <v>0</v>
      </c>
      <c r="F30" s="8" t="n">
        <f aca="false">COUNTIFS(Streets!$A$2:$A$255,$A30,Streets!$F$2:$F$255,"Keep")</f>
        <v>0</v>
      </c>
      <c r="G30" s="8" t="n">
        <f aca="false">COUNTIFS(Streets!$A$2:$A$255,$A30,Streets!$F$2:$F$255,"")</f>
        <v>1</v>
      </c>
    </row>
    <row r="31" customFormat="false" ht="15" hidden="false" customHeight="false" outlineLevel="0" collapsed="false">
      <c r="A31" s="7" t="s">
        <v>34</v>
      </c>
      <c r="B31" s="8" t="n">
        <f aca="false">COUNTIFS(Streets!$A$2:$A$255,$A31,Streets!$E$2:$E$255,"Keep")</f>
        <v>0</v>
      </c>
      <c r="C31" s="8" t="n">
        <f aca="false">COUNTIFS(Streets!$A$2:$A$255,$A31,Streets!$E$2:$E$255,"Add")</f>
        <v>0</v>
      </c>
      <c r="D31" s="8" t="n">
        <f aca="false">COUNTIFS(Streets!$A$2:$A$255,$A31,Streets!$E$2:$E$255,"Check")</f>
        <v>1</v>
      </c>
      <c r="E31" s="8" t="n">
        <f aca="false">COUNTIFS(Streets!$A$2:$A$255,$A31,Streets!$E$2:$E$255,"Drop")</f>
        <v>0</v>
      </c>
      <c r="F31" s="8" t="n">
        <f aca="false">COUNTIFS(Streets!$A$2:$A$255,$A31,Streets!$F$2:$F$255,"Keep")</f>
        <v>0</v>
      </c>
      <c r="G31" s="8" t="n">
        <f aca="false">COUNTIFS(Streets!$A$2:$A$255,$A31,Streets!$F$2:$F$255,"")</f>
        <v>1</v>
      </c>
    </row>
    <row r="32" customFormat="false" ht="15" hidden="false" customHeight="false" outlineLevel="0" collapsed="false">
      <c r="A32" s="7" t="s">
        <v>35</v>
      </c>
      <c r="B32" s="8" t="n">
        <f aca="false">COUNTIFS(Streets!$A$2:$A$255,$A32,Streets!$E$2:$E$255,"Keep")</f>
        <v>0</v>
      </c>
      <c r="C32" s="8" t="n">
        <f aca="false">COUNTIFS(Streets!$A$2:$A$255,$A32,Streets!$E$2:$E$255,"Add")</f>
        <v>0</v>
      </c>
      <c r="D32" s="8" t="n">
        <f aca="false">COUNTIFS(Streets!$A$2:$A$255,$A32,Streets!$E$2:$E$255,"Check")</f>
        <v>0</v>
      </c>
      <c r="E32" s="8" t="n">
        <f aca="false">COUNTIFS(Streets!$A$2:$A$255,$A32,Streets!$E$2:$E$255,"Drop")</f>
        <v>1</v>
      </c>
      <c r="F32" s="8" t="n">
        <f aca="false">COUNTIFS(Streets!$A$2:$A$255,$A32,Streets!$F$2:$F$255,"Keep")</f>
        <v>0</v>
      </c>
      <c r="G32" s="8" t="n">
        <f aca="false">COUNTIFS(Streets!$A$2:$A$255,$A32,Streets!$F$2:$F$255,"")</f>
        <v>1</v>
      </c>
    </row>
    <row r="33" customFormat="false" ht="15" hidden="false" customHeight="false" outlineLevel="0" collapsed="false">
      <c r="A33" s="7" t="s">
        <v>36</v>
      </c>
      <c r="B33" s="8" t="n">
        <f aca="false">COUNTIFS(Streets!$A$2:$A$255,$A33,Streets!$E$2:$E$255,"Keep")</f>
        <v>0</v>
      </c>
      <c r="C33" s="8" t="n">
        <f aca="false">COUNTIFS(Streets!$A$2:$A$255,$A33,Streets!$E$2:$E$255,"Add")</f>
        <v>0</v>
      </c>
      <c r="D33" s="8" t="n">
        <f aca="false">COUNTIFS(Streets!$A$2:$A$255,$A33,Streets!$E$2:$E$255,"Check")</f>
        <v>0</v>
      </c>
      <c r="E33" s="8" t="n">
        <f aca="false">COUNTIFS(Streets!$A$2:$A$255,$A33,Streets!$E$2:$E$255,"Drop")</f>
        <v>1</v>
      </c>
      <c r="F33" s="8" t="n">
        <f aca="false">COUNTIFS(Streets!$A$2:$A$255,$A33,Streets!$F$2:$F$255,"Keep")</f>
        <v>0</v>
      </c>
      <c r="G33" s="8" t="n">
        <f aca="false">COUNTIFS(Streets!$A$2:$A$255,$A33,Streets!$F$2:$F$255,"")</f>
        <v>1</v>
      </c>
    </row>
    <row r="34" customFormat="false" ht="15" hidden="false" customHeight="false" outlineLevel="0" collapsed="false">
      <c r="A34" s="7" t="s">
        <v>37</v>
      </c>
      <c r="B34" s="8" t="n">
        <f aca="false">COUNTIFS(Streets!$A$2:$A$255,$A34,Streets!$E$2:$E$255,"Keep")</f>
        <v>0</v>
      </c>
      <c r="C34" s="8" t="n">
        <f aca="false">COUNTIFS(Streets!$A$2:$A$255,$A34,Streets!$E$2:$E$255,"Add")</f>
        <v>0</v>
      </c>
      <c r="D34" s="8" t="n">
        <f aca="false">COUNTIFS(Streets!$A$2:$A$255,$A34,Streets!$E$2:$E$255,"Check")</f>
        <v>0</v>
      </c>
      <c r="E34" s="8" t="n">
        <f aca="false">COUNTIFS(Streets!$A$2:$A$255,$A34,Streets!$E$2:$E$255,"Drop")</f>
        <v>1</v>
      </c>
      <c r="F34" s="8" t="n">
        <f aca="false">COUNTIFS(Streets!$A$2:$A$255,$A34,Streets!$F$2:$F$255,"Keep")</f>
        <v>0</v>
      </c>
      <c r="G34" s="8" t="n">
        <f aca="false">COUNTIFS(Streets!$A$2:$A$255,$A34,Streets!$F$2:$F$255,"")</f>
        <v>1</v>
      </c>
    </row>
    <row r="35" customFormat="false" ht="15" hidden="false" customHeight="false" outlineLevel="0" collapsed="false">
      <c r="A35" s="7" t="s">
        <v>38</v>
      </c>
      <c r="B35" s="8" t="n">
        <f aca="false">COUNTIFS(Streets!$A$2:$A$255,$A35,Streets!$E$2:$E$255,"Keep")</f>
        <v>0</v>
      </c>
      <c r="C35" s="8" t="n">
        <f aca="false">COUNTIFS(Streets!$A$2:$A$255,$A35,Streets!$E$2:$E$255,"Add")</f>
        <v>0</v>
      </c>
      <c r="D35" s="8" t="n">
        <f aca="false">COUNTIFS(Streets!$A$2:$A$255,$A35,Streets!$E$2:$E$255,"Check")</f>
        <v>1</v>
      </c>
      <c r="E35" s="8" t="n">
        <f aca="false">COUNTIFS(Streets!$A$2:$A$255,$A35,Streets!$E$2:$E$255,"Drop")</f>
        <v>0</v>
      </c>
      <c r="F35" s="8" t="n">
        <f aca="false">COUNTIFS(Streets!$A$2:$A$255,$A35,Streets!$F$2:$F$255,"Keep")</f>
        <v>0</v>
      </c>
      <c r="G35" s="8" t="n">
        <f aca="false">COUNTIFS(Streets!$A$2:$A$255,$A35,Streets!$F$2:$F$255,"")</f>
        <v>1</v>
      </c>
    </row>
    <row r="36" customFormat="false" ht="15" hidden="false" customHeight="false" outlineLevel="0" collapsed="false">
      <c r="A36" s="7" t="s">
        <v>39</v>
      </c>
      <c r="B36" s="8" t="n">
        <f aca="false">COUNTIFS(Streets!$A$2:$A$255,$A36,Streets!$E$2:$E$255,"Keep")</f>
        <v>0</v>
      </c>
      <c r="C36" s="8" t="n">
        <f aca="false">COUNTIFS(Streets!$A$2:$A$255,$A36,Streets!$E$2:$E$255,"Add")</f>
        <v>0</v>
      </c>
      <c r="D36" s="8" t="n">
        <f aca="false">COUNTIFS(Streets!$A$2:$A$255,$A36,Streets!$E$2:$E$255,"Check")</f>
        <v>0</v>
      </c>
      <c r="E36" s="8" t="n">
        <f aca="false">COUNTIFS(Streets!$A$2:$A$255,$A36,Streets!$E$2:$E$255,"Drop")</f>
        <v>1</v>
      </c>
      <c r="F36" s="8" t="n">
        <f aca="false">COUNTIFS(Streets!$A$2:$A$255,$A36,Streets!$F$2:$F$255,"Keep")</f>
        <v>0</v>
      </c>
      <c r="G36" s="8" t="n">
        <f aca="false">COUNTIFS(Streets!$A$2:$A$255,$A36,Streets!$F$2:$F$255,"")</f>
        <v>1</v>
      </c>
    </row>
    <row r="37" customFormat="false" ht="15" hidden="false" customHeight="false" outlineLevel="0" collapsed="false">
      <c r="A37" s="7" t="s">
        <v>40</v>
      </c>
      <c r="B37" s="8" t="n">
        <f aca="false">COUNTIFS(Streets!$A$2:$A$255,$A37,Streets!$E$2:$E$255,"Keep")</f>
        <v>0</v>
      </c>
      <c r="C37" s="8" t="n">
        <f aca="false">COUNTIFS(Streets!$A$2:$A$255,$A37,Streets!$E$2:$E$255,"Add")</f>
        <v>0</v>
      </c>
      <c r="D37" s="8" t="n">
        <f aca="false">COUNTIFS(Streets!$A$2:$A$255,$A37,Streets!$E$2:$E$255,"Check")</f>
        <v>1</v>
      </c>
      <c r="E37" s="8" t="n">
        <f aca="false">COUNTIFS(Streets!$A$2:$A$255,$A37,Streets!$E$2:$E$255,"Drop")</f>
        <v>0</v>
      </c>
      <c r="F37" s="8" t="n">
        <f aca="false">COUNTIFS(Streets!$A$2:$A$255,$A37,Streets!$F$2:$F$255,"Keep")</f>
        <v>0</v>
      </c>
      <c r="G37" s="8" t="n">
        <f aca="false">COUNTIFS(Streets!$A$2:$A$255,$A37,Streets!$F$2:$F$255,"")</f>
        <v>1</v>
      </c>
    </row>
    <row r="38" customFormat="false" ht="15" hidden="false" customHeight="false" outlineLevel="0" collapsed="false">
      <c r="A38" s="7" t="s">
        <v>41</v>
      </c>
      <c r="B38" s="8" t="n">
        <f aca="false">COUNTIFS(Streets!$A$2:$A$255,$A38,Streets!$E$2:$E$255,"Keep")</f>
        <v>0</v>
      </c>
      <c r="C38" s="8" t="n">
        <f aca="false">COUNTIFS(Streets!$A$2:$A$255,$A38,Streets!$E$2:$E$255,"Add")</f>
        <v>0</v>
      </c>
      <c r="D38" s="8" t="n">
        <f aca="false">COUNTIFS(Streets!$A$2:$A$255,$A38,Streets!$E$2:$E$255,"Check")</f>
        <v>0</v>
      </c>
      <c r="E38" s="8" t="n">
        <f aca="false">COUNTIFS(Streets!$A$2:$A$255,$A38,Streets!$E$2:$E$255,"Drop")</f>
        <v>1</v>
      </c>
      <c r="F38" s="8" t="n">
        <f aca="false">COUNTIFS(Streets!$A$2:$A$255,$A38,Streets!$F$2:$F$255,"Keep")</f>
        <v>0</v>
      </c>
      <c r="G38" s="8" t="n">
        <f aca="false">COUNTIFS(Streets!$A$2:$A$255,$A38,Streets!$F$2:$F$255,"")</f>
        <v>1</v>
      </c>
    </row>
    <row r="39" customFormat="false" ht="15" hidden="false" customHeight="false" outlineLevel="0" collapsed="false">
      <c r="A39" s="7" t="s">
        <v>42</v>
      </c>
      <c r="B39" s="8" t="n">
        <f aca="false">COUNTIFS(Streets!$A$2:$A$255,$A39,Streets!$E$2:$E$255,"Keep")</f>
        <v>0</v>
      </c>
      <c r="C39" s="8" t="n">
        <f aca="false">COUNTIFS(Streets!$A$2:$A$255,$A39,Streets!$E$2:$E$255,"Add")</f>
        <v>0</v>
      </c>
      <c r="D39" s="8" t="n">
        <f aca="false">COUNTIFS(Streets!$A$2:$A$255,$A39,Streets!$E$2:$E$255,"Check")</f>
        <v>0</v>
      </c>
      <c r="E39" s="8" t="n">
        <f aca="false">COUNTIFS(Streets!$A$2:$A$255,$A39,Streets!$E$2:$E$255,"Drop")</f>
        <v>1</v>
      </c>
      <c r="F39" s="8" t="n">
        <f aca="false">COUNTIFS(Streets!$A$2:$A$255,$A39,Streets!$F$2:$F$255,"Keep")</f>
        <v>0</v>
      </c>
      <c r="G39" s="8" t="n">
        <f aca="false">COUNTIFS(Streets!$A$2:$A$255,$A39,Streets!$F$2:$F$255,"")</f>
        <v>1</v>
      </c>
    </row>
    <row r="40" customFormat="false" ht="15" hidden="false" customHeight="false" outlineLevel="0" collapsed="false">
      <c r="A40" s="9" t="s">
        <v>43</v>
      </c>
      <c r="B40" s="10" t="n">
        <f aca="false">SUM(B13:B39)</f>
        <v>160</v>
      </c>
      <c r="C40" s="10" t="n">
        <f aca="false">SUM(C13:C39)</f>
        <v>37</v>
      </c>
      <c r="D40" s="10" t="n">
        <f aca="false">SUM(D13:D39)</f>
        <v>15</v>
      </c>
      <c r="E40" s="10" t="n">
        <f aca="false">SUM(E13:E39)</f>
        <v>42</v>
      </c>
      <c r="F40" s="10" t="n">
        <f aca="false">SUM(F13:F39)</f>
        <v>0</v>
      </c>
      <c r="G40" s="10" t="n">
        <f aca="false">SUM(G13:G39)</f>
        <v>254</v>
      </c>
    </row>
    <row r="42" customFormat="false" ht="15" hidden="false" customHeight="false" outlineLevel="0" collapsed="false">
      <c r="A42" s="3" t="s">
        <v>44</v>
      </c>
    </row>
    <row r="43" customFormat="false" ht="15" hidden="false" customHeight="false" outlineLevel="0" collapsed="false">
      <c r="A43" s="4" t="s">
        <v>45</v>
      </c>
    </row>
    <row r="44" customFormat="false" ht="15" hidden="false" customHeight="false" outlineLevel="0" collapsed="false">
      <c r="A44" s="4" t="s">
        <v>46</v>
      </c>
    </row>
    <row r="45" customFormat="false" ht="15" hidden="false" customHeight="false" outlineLevel="0" collapsed="false">
      <c r="A45" s="4" t="s">
        <v>47</v>
      </c>
    </row>
    <row r="46" customFormat="false" ht="15" hidden="false" customHeight="false" outlineLevel="0" collapsed="false">
      <c r="A46" s="4" t="s">
        <v>48</v>
      </c>
    </row>
    <row r="47" customFormat="false" ht="15" hidden="false" customHeight="false" outlineLevel="0" collapsed="false">
      <c r="A47" s="4" t="s">
        <v>49</v>
      </c>
    </row>
    <row r="48" customFormat="false" ht="15" hidden="false" customHeight="false" outlineLevel="0" collapsed="false">
      <c r="A48" s="4" t="s">
        <v>50</v>
      </c>
    </row>
    <row r="49" customFormat="false" ht="15" hidden="false" customHeight="false" outlineLevel="0" collapsed="false">
      <c r="A49" s="4" t="s">
        <v>51</v>
      </c>
    </row>
    <row r="50" customFormat="false" ht="15" hidden="false" customHeight="false" outlineLevel="0" collapsed="false">
      <c r="A50" s="4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60"/>
    <col collapsed="false" customWidth="true" hidden="false" outlineLevel="0" max="8" min="8" style="0" width="20"/>
    <col collapsed="false" customWidth="true" hidden="false" outlineLevel="0" max="10" min="9" style="0" width="11"/>
    <col collapsed="false" customWidth="true" hidden="false" outlineLevel="0" max="12" min="11" style="0" width="13"/>
    <col collapsed="false" customWidth="true" hidden="false" outlineLevel="0" max="13" min="13" style="0" width="12"/>
  </cols>
  <sheetData>
    <row r="1" customFormat="false" ht="30" hidden="false" customHeight="true" outlineLevel="0" collapsed="false">
      <c r="A1" s="11" t="s">
        <v>9</v>
      </c>
      <c r="B1" s="11" t="s">
        <v>53</v>
      </c>
      <c r="C1" s="11" t="s">
        <v>54</v>
      </c>
      <c r="D1" s="11" t="s">
        <v>55</v>
      </c>
      <c r="E1" s="11" t="s">
        <v>56</v>
      </c>
      <c r="F1" s="12" t="s">
        <v>57</v>
      </c>
      <c r="G1" s="11" t="s">
        <v>58</v>
      </c>
      <c r="H1" s="11" t="s">
        <v>59</v>
      </c>
      <c r="I1" s="11" t="s">
        <v>60</v>
      </c>
      <c r="J1" s="11" t="s">
        <v>61</v>
      </c>
      <c r="K1" s="11" t="s">
        <v>62</v>
      </c>
      <c r="L1" s="11" t="s">
        <v>63</v>
      </c>
      <c r="M1" s="11" t="s">
        <v>64</v>
      </c>
    </row>
    <row r="2" customFormat="false" ht="15" hidden="false" customHeight="false" outlineLevel="0" collapsed="false">
      <c r="A2" s="13" t="s">
        <v>26</v>
      </c>
      <c r="B2" s="13" t="s">
        <v>26</v>
      </c>
      <c r="C2" s="13" t="s">
        <v>65</v>
      </c>
      <c r="D2" s="13" t="s">
        <v>66</v>
      </c>
      <c r="E2" s="14" t="s">
        <v>10</v>
      </c>
      <c r="F2" s="15"/>
      <c r="G2" s="16"/>
      <c r="H2" s="13" t="s">
        <v>67</v>
      </c>
      <c r="I2" s="17" t="n">
        <v>-26.45266</v>
      </c>
      <c r="J2" s="17" t="n">
        <v>29.46687</v>
      </c>
      <c r="K2" s="13" t="n">
        <v>5</v>
      </c>
      <c r="L2" s="13" t="s">
        <v>68</v>
      </c>
      <c r="M2" s="18" t="s">
        <v>69</v>
      </c>
    </row>
    <row r="3" customFormat="false" ht="15" hidden="false" customHeight="false" outlineLevel="0" collapsed="false">
      <c r="A3" s="13" t="s">
        <v>27</v>
      </c>
      <c r="B3" s="13" t="s">
        <v>70</v>
      </c>
      <c r="C3" s="13" t="s">
        <v>71</v>
      </c>
      <c r="D3" s="13" t="s">
        <v>72</v>
      </c>
      <c r="E3" s="14" t="s">
        <v>10</v>
      </c>
      <c r="F3" s="15"/>
      <c r="G3" s="16"/>
      <c r="H3" s="13" t="s">
        <v>67</v>
      </c>
      <c r="I3" s="17" t="n">
        <v>-29.1052</v>
      </c>
      <c r="J3" s="17" t="n">
        <v>26.23482</v>
      </c>
      <c r="K3" s="13" t="n">
        <v>17</v>
      </c>
      <c r="L3" s="13" t="s">
        <v>73</v>
      </c>
      <c r="M3" s="18" t="s">
        <v>69</v>
      </c>
    </row>
    <row r="4" customFormat="false" ht="15" hidden="false" customHeight="false" outlineLevel="0" collapsed="false">
      <c r="A4" s="13" t="s">
        <v>27</v>
      </c>
      <c r="B4" s="13" t="s">
        <v>70</v>
      </c>
      <c r="C4" s="13" t="s">
        <v>74</v>
      </c>
      <c r="D4" s="13" t="s">
        <v>75</v>
      </c>
      <c r="E4" s="19" t="s">
        <v>12</v>
      </c>
      <c r="F4" s="15"/>
      <c r="G4" s="16" t="s">
        <v>76</v>
      </c>
      <c r="H4" s="13" t="s">
        <v>67</v>
      </c>
      <c r="I4" s="17" t="n">
        <v>-29.1234</v>
      </c>
      <c r="J4" s="17" t="n">
        <v>26.19797</v>
      </c>
      <c r="K4" s="13" t="n">
        <v>34</v>
      </c>
      <c r="L4" s="13" t="s">
        <v>77</v>
      </c>
      <c r="M4" s="18" t="s">
        <v>69</v>
      </c>
    </row>
    <row r="5" customFormat="false" ht="15" hidden="false" customHeight="false" outlineLevel="0" collapsed="false">
      <c r="A5" s="13" t="s">
        <v>27</v>
      </c>
      <c r="B5" s="13" t="s">
        <v>70</v>
      </c>
      <c r="C5" s="13" t="s">
        <v>74</v>
      </c>
      <c r="D5" s="13" t="s">
        <v>78</v>
      </c>
      <c r="E5" s="20" t="s">
        <v>13</v>
      </c>
      <c r="F5" s="15"/>
      <c r="G5" s="16" t="s">
        <v>79</v>
      </c>
      <c r="H5" s="13" t="s">
        <v>67</v>
      </c>
      <c r="I5" s="17" t="n">
        <v>-29.12547</v>
      </c>
      <c r="J5" s="17" t="n">
        <v>26.18381</v>
      </c>
      <c r="K5" s="13" t="n">
        <v>1</v>
      </c>
      <c r="L5" s="13" t="s">
        <v>80</v>
      </c>
      <c r="M5" s="18" t="s">
        <v>69</v>
      </c>
    </row>
    <row r="6" customFormat="false" ht="15" hidden="false" customHeight="false" outlineLevel="0" collapsed="false">
      <c r="A6" s="13" t="s">
        <v>27</v>
      </c>
      <c r="B6" s="13" t="s">
        <v>70</v>
      </c>
      <c r="C6" s="13" t="s">
        <v>81</v>
      </c>
      <c r="D6" s="13" t="s">
        <v>82</v>
      </c>
      <c r="E6" s="20" t="s">
        <v>13</v>
      </c>
      <c r="F6" s="15"/>
      <c r="G6" s="16" t="s">
        <v>83</v>
      </c>
      <c r="H6" s="13" t="s">
        <v>67</v>
      </c>
      <c r="I6" s="17" t="n">
        <v>-29.13524</v>
      </c>
      <c r="J6" s="17" t="n">
        <v>26.18792</v>
      </c>
      <c r="K6" s="13" t="n">
        <v>3</v>
      </c>
      <c r="L6" s="13" t="s">
        <v>80</v>
      </c>
      <c r="M6" s="18" t="s">
        <v>69</v>
      </c>
    </row>
    <row r="7" customFormat="false" ht="15" hidden="false" customHeight="false" outlineLevel="0" collapsed="false">
      <c r="A7" s="13" t="s">
        <v>21</v>
      </c>
      <c r="B7" s="13" t="s">
        <v>21</v>
      </c>
      <c r="C7" s="13" t="s">
        <v>84</v>
      </c>
      <c r="D7" s="13" t="s">
        <v>85</v>
      </c>
      <c r="E7" s="14" t="s">
        <v>10</v>
      </c>
      <c r="F7" s="15"/>
      <c r="G7" s="16"/>
      <c r="H7" s="13" t="s">
        <v>67</v>
      </c>
      <c r="I7" s="17" t="n">
        <v>-33.9211</v>
      </c>
      <c r="J7" s="17" t="n">
        <v>18.43371</v>
      </c>
      <c r="K7" s="13" t="n">
        <v>25</v>
      </c>
      <c r="L7" s="13" t="s">
        <v>86</v>
      </c>
      <c r="M7" s="18" t="s">
        <v>69</v>
      </c>
    </row>
    <row r="8" customFormat="false" ht="15" hidden="false" customHeight="false" outlineLevel="0" collapsed="false">
      <c r="A8" s="13" t="s">
        <v>21</v>
      </c>
      <c r="B8" s="13" t="s">
        <v>21</v>
      </c>
      <c r="C8" s="13" t="s">
        <v>87</v>
      </c>
      <c r="D8" s="13" t="s">
        <v>88</v>
      </c>
      <c r="E8" s="14" t="s">
        <v>10</v>
      </c>
      <c r="F8" s="15"/>
      <c r="G8" s="16"/>
      <c r="H8" s="13" t="s">
        <v>67</v>
      </c>
      <c r="I8" s="17" t="n">
        <v>-33.92133</v>
      </c>
      <c r="J8" s="17" t="n">
        <v>18.45198</v>
      </c>
      <c r="K8" s="13" t="n">
        <v>42</v>
      </c>
      <c r="L8" s="13" t="s">
        <v>89</v>
      </c>
      <c r="M8" s="18" t="s">
        <v>69</v>
      </c>
    </row>
    <row r="9" customFormat="false" ht="15" hidden="false" customHeight="false" outlineLevel="0" collapsed="false">
      <c r="A9" s="13" t="s">
        <v>21</v>
      </c>
      <c r="B9" s="13" t="s">
        <v>90</v>
      </c>
      <c r="C9" s="13" t="s">
        <v>91</v>
      </c>
      <c r="D9" s="13" t="s">
        <v>92</v>
      </c>
      <c r="E9" s="14" t="s">
        <v>10</v>
      </c>
      <c r="F9" s="15"/>
      <c r="G9" s="16"/>
      <c r="H9" s="13" t="s">
        <v>67</v>
      </c>
      <c r="I9" s="17" t="n">
        <v>-34.00239</v>
      </c>
      <c r="J9" s="17" t="n">
        <v>18.51792</v>
      </c>
      <c r="K9" s="13" t="n">
        <v>150</v>
      </c>
      <c r="L9" s="13" t="s">
        <v>86</v>
      </c>
      <c r="M9" s="18" t="s">
        <v>69</v>
      </c>
    </row>
    <row r="10" customFormat="false" ht="15" hidden="false" customHeight="false" outlineLevel="0" collapsed="false">
      <c r="A10" s="13" t="s">
        <v>21</v>
      </c>
      <c r="B10" s="13" t="s">
        <v>21</v>
      </c>
      <c r="C10" s="13" t="s">
        <v>93</v>
      </c>
      <c r="D10" s="13" t="s">
        <v>94</v>
      </c>
      <c r="E10" s="14" t="s">
        <v>10</v>
      </c>
      <c r="F10" s="15"/>
      <c r="G10" s="16" t="s">
        <v>95</v>
      </c>
      <c r="H10" s="13" t="s">
        <v>67</v>
      </c>
      <c r="I10" s="17" t="n">
        <v>-33.93266</v>
      </c>
      <c r="J10" s="17" t="n">
        <v>18.43728</v>
      </c>
      <c r="K10" s="13" t="n">
        <v>80</v>
      </c>
      <c r="L10" s="13" t="s">
        <v>68</v>
      </c>
      <c r="M10" s="18" t="s">
        <v>69</v>
      </c>
    </row>
    <row r="11" customFormat="false" ht="15" hidden="false" customHeight="false" outlineLevel="0" collapsed="false">
      <c r="A11" s="13" t="s">
        <v>21</v>
      </c>
      <c r="B11" s="13" t="s">
        <v>21</v>
      </c>
      <c r="C11" s="13" t="s">
        <v>96</v>
      </c>
      <c r="D11" s="13" t="s">
        <v>97</v>
      </c>
      <c r="E11" s="14" t="s">
        <v>10</v>
      </c>
      <c r="F11" s="15"/>
      <c r="G11" s="16"/>
      <c r="H11" s="13" t="s">
        <v>67</v>
      </c>
      <c r="I11" s="17" t="n">
        <v>-33.90727</v>
      </c>
      <c r="J11" s="17" t="n">
        <v>18.41042</v>
      </c>
      <c r="K11" s="13" t="n">
        <v>46</v>
      </c>
      <c r="L11" s="13" t="s">
        <v>73</v>
      </c>
      <c r="M11" s="18" t="s">
        <v>69</v>
      </c>
    </row>
    <row r="12" customFormat="false" ht="15" hidden="false" customHeight="false" outlineLevel="0" collapsed="false">
      <c r="A12" s="13" t="s">
        <v>21</v>
      </c>
      <c r="B12" s="13" t="s">
        <v>98</v>
      </c>
      <c r="C12" s="13" t="s">
        <v>91</v>
      </c>
      <c r="D12" s="13" t="s">
        <v>99</v>
      </c>
      <c r="E12" s="14" t="s">
        <v>10</v>
      </c>
      <c r="F12" s="15"/>
      <c r="G12" s="16"/>
      <c r="H12" s="13" t="s">
        <v>67</v>
      </c>
      <c r="I12" s="17" t="n">
        <v>-33.98306</v>
      </c>
      <c r="J12" s="17" t="n">
        <v>18.4685</v>
      </c>
      <c r="K12" s="13" t="n">
        <v>42</v>
      </c>
      <c r="L12" s="13" t="s">
        <v>73</v>
      </c>
      <c r="M12" s="18" t="s">
        <v>69</v>
      </c>
    </row>
    <row r="13" customFormat="false" ht="15" hidden="false" customHeight="false" outlineLevel="0" collapsed="false">
      <c r="A13" s="13" t="s">
        <v>21</v>
      </c>
      <c r="B13" s="13" t="s">
        <v>100</v>
      </c>
      <c r="C13" s="13" t="s">
        <v>101</v>
      </c>
      <c r="D13" s="13" t="s">
        <v>102</v>
      </c>
      <c r="E13" s="14" t="s">
        <v>10</v>
      </c>
      <c r="F13" s="15"/>
      <c r="G13" s="16"/>
      <c r="H13" s="13" t="s">
        <v>67</v>
      </c>
      <c r="I13" s="17" t="n">
        <v>-33.95529</v>
      </c>
      <c r="J13" s="17" t="n">
        <v>18.54096</v>
      </c>
      <c r="K13" s="13" t="n">
        <v>232</v>
      </c>
      <c r="L13" s="13" t="s">
        <v>77</v>
      </c>
      <c r="M13" s="18" t="s">
        <v>69</v>
      </c>
    </row>
    <row r="14" customFormat="false" ht="15" hidden="false" customHeight="false" outlineLevel="0" collapsed="false">
      <c r="A14" s="13" t="s">
        <v>21</v>
      </c>
      <c r="B14" s="13" t="s">
        <v>103</v>
      </c>
      <c r="C14" s="13" t="s">
        <v>91</v>
      </c>
      <c r="D14" s="13" t="s">
        <v>104</v>
      </c>
      <c r="E14" s="14" t="s">
        <v>10</v>
      </c>
      <c r="F14" s="15"/>
      <c r="G14" s="16"/>
      <c r="H14" s="13" t="s">
        <v>67</v>
      </c>
      <c r="I14" s="17" t="n">
        <v>-34.00893</v>
      </c>
      <c r="J14" s="17" t="n">
        <v>18.63592</v>
      </c>
      <c r="K14" s="13" t="n">
        <v>76</v>
      </c>
      <c r="L14" s="13" t="s">
        <v>86</v>
      </c>
      <c r="M14" s="18" t="s">
        <v>69</v>
      </c>
    </row>
    <row r="15" customFormat="false" ht="15" hidden="false" customHeight="false" outlineLevel="0" collapsed="false">
      <c r="A15" s="13" t="s">
        <v>21</v>
      </c>
      <c r="B15" s="13" t="s">
        <v>100</v>
      </c>
      <c r="C15" s="13" t="s">
        <v>105</v>
      </c>
      <c r="D15" s="13" t="s">
        <v>106</v>
      </c>
      <c r="E15" s="14" t="s">
        <v>10</v>
      </c>
      <c r="F15" s="15"/>
      <c r="G15" s="16"/>
      <c r="H15" s="13" t="s">
        <v>67</v>
      </c>
      <c r="I15" s="17" t="n">
        <v>-33.94555</v>
      </c>
      <c r="J15" s="17" t="n">
        <v>18.53768</v>
      </c>
      <c r="K15" s="13" t="n">
        <v>19</v>
      </c>
      <c r="L15" s="13" t="s">
        <v>68</v>
      </c>
      <c r="M15" s="18" t="s">
        <v>69</v>
      </c>
    </row>
    <row r="16" customFormat="false" ht="15" hidden="false" customHeight="false" outlineLevel="0" collapsed="false">
      <c r="A16" s="13" t="s">
        <v>21</v>
      </c>
      <c r="B16" s="13" t="s">
        <v>21</v>
      </c>
      <c r="C16" s="13" t="s">
        <v>107</v>
      </c>
      <c r="D16" s="13" t="s">
        <v>108</v>
      </c>
      <c r="E16" s="14" t="s">
        <v>10</v>
      </c>
      <c r="F16" s="15"/>
      <c r="G16" s="16"/>
      <c r="H16" s="13" t="s">
        <v>67</v>
      </c>
      <c r="I16" s="17" t="n">
        <v>-33.9189</v>
      </c>
      <c r="J16" s="17" t="n">
        <v>18.4332</v>
      </c>
      <c r="K16" s="13" t="n">
        <v>59</v>
      </c>
      <c r="L16" s="13" t="s">
        <v>89</v>
      </c>
      <c r="M16" s="18" t="s">
        <v>69</v>
      </c>
    </row>
    <row r="17" customFormat="false" ht="15" hidden="false" customHeight="false" outlineLevel="0" collapsed="false">
      <c r="A17" s="13" t="s">
        <v>21</v>
      </c>
      <c r="B17" s="13" t="s">
        <v>21</v>
      </c>
      <c r="C17" s="13" t="s">
        <v>109</v>
      </c>
      <c r="D17" s="13" t="s">
        <v>110</v>
      </c>
      <c r="E17" s="14" t="s">
        <v>10</v>
      </c>
      <c r="F17" s="15"/>
      <c r="G17" s="16"/>
      <c r="H17" s="13" t="s">
        <v>67</v>
      </c>
      <c r="I17" s="17" t="n">
        <v>-33.93877</v>
      </c>
      <c r="J17" s="17" t="n">
        <v>18.44395</v>
      </c>
      <c r="K17" s="13" t="n">
        <v>17</v>
      </c>
      <c r="L17" s="13" t="s">
        <v>73</v>
      </c>
      <c r="M17" s="18" t="s">
        <v>69</v>
      </c>
    </row>
    <row r="18" customFormat="false" ht="15" hidden="false" customHeight="false" outlineLevel="0" collapsed="false">
      <c r="A18" s="13" t="s">
        <v>21</v>
      </c>
      <c r="B18" s="13" t="s">
        <v>100</v>
      </c>
      <c r="C18" s="13" t="s">
        <v>111</v>
      </c>
      <c r="D18" s="13" t="s">
        <v>112</v>
      </c>
      <c r="E18" s="14" t="s">
        <v>10</v>
      </c>
      <c r="F18" s="15"/>
      <c r="G18" s="16" t="s">
        <v>113</v>
      </c>
      <c r="H18" s="13" t="s">
        <v>67</v>
      </c>
      <c r="I18" s="17" t="n">
        <v>-33.95853</v>
      </c>
      <c r="J18" s="17" t="n">
        <v>18.55875</v>
      </c>
      <c r="K18" s="13" t="n">
        <v>78</v>
      </c>
      <c r="L18" s="13" t="s">
        <v>73</v>
      </c>
      <c r="M18" s="18" t="s">
        <v>69</v>
      </c>
    </row>
    <row r="19" customFormat="false" ht="15" hidden="false" customHeight="false" outlineLevel="0" collapsed="false">
      <c r="A19" s="13" t="s">
        <v>21</v>
      </c>
      <c r="B19" s="13" t="s">
        <v>114</v>
      </c>
      <c r="C19" s="13" t="s">
        <v>115</v>
      </c>
      <c r="D19" s="13" t="s">
        <v>116</v>
      </c>
      <c r="E19" s="14" t="s">
        <v>10</v>
      </c>
      <c r="F19" s="15"/>
      <c r="G19" s="16"/>
      <c r="H19" s="13" t="s">
        <v>67</v>
      </c>
      <c r="I19" s="17" t="n">
        <v>-33.88612</v>
      </c>
      <c r="J19" s="17" t="n">
        <v>18.61006</v>
      </c>
      <c r="K19" s="13" t="n">
        <v>78</v>
      </c>
      <c r="L19" s="13" t="s">
        <v>68</v>
      </c>
      <c r="M19" s="18" t="s">
        <v>69</v>
      </c>
    </row>
    <row r="20" customFormat="false" ht="15" hidden="false" customHeight="false" outlineLevel="0" collapsed="false">
      <c r="A20" s="13" t="s">
        <v>21</v>
      </c>
      <c r="B20" s="13" t="s">
        <v>21</v>
      </c>
      <c r="C20" s="13" t="s">
        <v>117</v>
      </c>
      <c r="D20" s="13" t="s">
        <v>118</v>
      </c>
      <c r="E20" s="14" t="s">
        <v>10</v>
      </c>
      <c r="F20" s="15"/>
      <c r="G20" s="16"/>
      <c r="H20" s="13" t="s">
        <v>67</v>
      </c>
      <c r="I20" s="17" t="n">
        <v>-33.91701</v>
      </c>
      <c r="J20" s="17" t="n">
        <v>18.4272</v>
      </c>
      <c r="K20" s="13" t="n">
        <v>13</v>
      </c>
      <c r="L20" s="13" t="s">
        <v>68</v>
      </c>
      <c r="M20" s="18" t="s">
        <v>69</v>
      </c>
    </row>
    <row r="21" customFormat="false" ht="15" hidden="false" customHeight="false" outlineLevel="0" collapsed="false">
      <c r="A21" s="13" t="s">
        <v>21</v>
      </c>
      <c r="B21" s="13" t="s">
        <v>119</v>
      </c>
      <c r="C21" s="13" t="s">
        <v>120</v>
      </c>
      <c r="D21" s="13" t="s">
        <v>121</v>
      </c>
      <c r="E21" s="19" t="s">
        <v>12</v>
      </c>
      <c r="F21" s="15"/>
      <c r="G21" s="16" t="s">
        <v>122</v>
      </c>
      <c r="H21" s="13" t="s">
        <v>67</v>
      </c>
      <c r="I21" s="17" t="n">
        <v>-33.95499</v>
      </c>
      <c r="J21" s="17" t="n">
        <v>18.46161</v>
      </c>
      <c r="K21" s="13" t="n">
        <v>4</v>
      </c>
      <c r="L21" s="13" t="s">
        <v>123</v>
      </c>
      <c r="M21" s="18" t="s">
        <v>69</v>
      </c>
    </row>
    <row r="22" customFormat="false" ht="15" hidden="false" customHeight="false" outlineLevel="0" collapsed="false">
      <c r="A22" s="13" t="s">
        <v>21</v>
      </c>
      <c r="B22" s="13" t="s">
        <v>21</v>
      </c>
      <c r="C22" s="13" t="s">
        <v>124</v>
      </c>
      <c r="D22" s="13" t="s">
        <v>125</v>
      </c>
      <c r="E22" s="19" t="s">
        <v>12</v>
      </c>
      <c r="F22" s="15"/>
      <c r="G22" s="16" t="s">
        <v>126</v>
      </c>
      <c r="H22" s="13" t="s">
        <v>67</v>
      </c>
      <c r="I22" s="17" t="n">
        <v>-33.93695</v>
      </c>
      <c r="J22" s="17" t="n">
        <v>18.41923</v>
      </c>
      <c r="K22" s="13" t="n">
        <v>1</v>
      </c>
      <c r="L22" s="13" t="s">
        <v>80</v>
      </c>
      <c r="M22" s="18" t="s">
        <v>69</v>
      </c>
    </row>
    <row r="23" customFormat="false" ht="15" hidden="false" customHeight="false" outlineLevel="0" collapsed="false">
      <c r="A23" s="13" t="s">
        <v>21</v>
      </c>
      <c r="B23" s="13" t="s">
        <v>21</v>
      </c>
      <c r="C23" s="13" t="s">
        <v>96</v>
      </c>
      <c r="D23" s="13" t="s">
        <v>127</v>
      </c>
      <c r="E23" s="20" t="s">
        <v>13</v>
      </c>
      <c r="F23" s="15"/>
      <c r="G23" s="16" t="s">
        <v>79</v>
      </c>
      <c r="H23" s="13" t="s">
        <v>67</v>
      </c>
      <c r="I23" s="17" t="n">
        <v>-33.9064</v>
      </c>
      <c r="J23" s="17" t="n">
        <v>18.39846</v>
      </c>
      <c r="K23" s="13" t="n">
        <v>2</v>
      </c>
      <c r="L23" s="13" t="s">
        <v>73</v>
      </c>
      <c r="M23" s="18" t="s">
        <v>69</v>
      </c>
    </row>
    <row r="24" customFormat="false" ht="15" hidden="false" customHeight="false" outlineLevel="0" collapsed="false">
      <c r="A24" s="13" t="s">
        <v>21</v>
      </c>
      <c r="B24" s="13" t="s">
        <v>128</v>
      </c>
      <c r="C24" s="13" t="s">
        <v>129</v>
      </c>
      <c r="D24" s="13" t="s">
        <v>130</v>
      </c>
      <c r="E24" s="20" t="s">
        <v>13</v>
      </c>
      <c r="F24" s="15"/>
      <c r="G24" s="16" t="s">
        <v>131</v>
      </c>
      <c r="H24" s="13" t="s">
        <v>67</v>
      </c>
      <c r="I24" s="17" t="n">
        <v>-34.19419</v>
      </c>
      <c r="J24" s="17" t="n">
        <v>18.43244</v>
      </c>
      <c r="K24" s="13" t="n">
        <v>1</v>
      </c>
      <c r="L24" s="13" t="s">
        <v>132</v>
      </c>
      <c r="M24" s="18" t="s">
        <v>69</v>
      </c>
    </row>
    <row r="25" customFormat="false" ht="15" hidden="false" customHeight="false" outlineLevel="0" collapsed="false">
      <c r="A25" s="13" t="s">
        <v>21</v>
      </c>
      <c r="B25" s="13" t="s">
        <v>21</v>
      </c>
      <c r="C25" s="13" t="s">
        <v>96</v>
      </c>
      <c r="D25" s="13" t="s">
        <v>133</v>
      </c>
      <c r="E25" s="20" t="s">
        <v>13</v>
      </c>
      <c r="F25" s="15"/>
      <c r="G25" s="16" t="s">
        <v>79</v>
      </c>
      <c r="H25" s="13" t="s">
        <v>67</v>
      </c>
      <c r="I25" s="17" t="n">
        <v>-33.91575</v>
      </c>
      <c r="J25" s="17" t="n">
        <v>18.42235</v>
      </c>
      <c r="K25" s="13" t="n">
        <v>2</v>
      </c>
      <c r="L25" s="13" t="s">
        <v>73</v>
      </c>
      <c r="M25" s="18" t="s">
        <v>69</v>
      </c>
    </row>
    <row r="26" customFormat="false" ht="15" hidden="false" customHeight="false" outlineLevel="0" collapsed="false">
      <c r="A26" s="13" t="s">
        <v>21</v>
      </c>
      <c r="B26" s="13" t="s">
        <v>98</v>
      </c>
      <c r="C26" s="13" t="s">
        <v>91</v>
      </c>
      <c r="D26" s="13" t="s">
        <v>134</v>
      </c>
      <c r="E26" s="20" t="s">
        <v>13</v>
      </c>
      <c r="F26" s="15"/>
      <c r="G26" s="16" t="s">
        <v>79</v>
      </c>
      <c r="H26" s="13" t="s">
        <v>67</v>
      </c>
      <c r="I26" s="17" t="n">
        <v>-33.98269</v>
      </c>
      <c r="J26" s="17" t="n">
        <v>18.46791</v>
      </c>
      <c r="K26" s="13" t="n">
        <v>2</v>
      </c>
      <c r="L26" s="13" t="s">
        <v>73</v>
      </c>
      <c r="M26" s="18" t="s">
        <v>69</v>
      </c>
    </row>
    <row r="27" customFormat="false" ht="15" hidden="false" customHeight="false" outlineLevel="0" collapsed="false">
      <c r="A27" s="13" t="s">
        <v>21</v>
      </c>
      <c r="B27" s="13" t="s">
        <v>114</v>
      </c>
      <c r="C27" s="13" t="s">
        <v>135</v>
      </c>
      <c r="D27" s="13" t="s">
        <v>136</v>
      </c>
      <c r="E27" s="20" t="s">
        <v>13</v>
      </c>
      <c r="F27" s="15"/>
      <c r="G27" s="16" t="s">
        <v>83</v>
      </c>
      <c r="H27" s="13" t="s">
        <v>67</v>
      </c>
      <c r="I27" s="17" t="n">
        <v>-33.89488</v>
      </c>
      <c r="J27" s="17" t="n">
        <v>18.62856</v>
      </c>
      <c r="K27" s="13" t="n">
        <v>1</v>
      </c>
      <c r="L27" s="13" t="s">
        <v>80</v>
      </c>
      <c r="M27" s="18" t="s">
        <v>69</v>
      </c>
    </row>
    <row r="28" customFormat="false" ht="15" hidden="false" customHeight="false" outlineLevel="0" collapsed="false">
      <c r="A28" s="13" t="s">
        <v>21</v>
      </c>
      <c r="B28" s="13" t="s">
        <v>21</v>
      </c>
      <c r="C28" s="13" t="s">
        <v>137</v>
      </c>
      <c r="D28" s="13" t="s">
        <v>138</v>
      </c>
      <c r="E28" s="20" t="s">
        <v>13</v>
      </c>
      <c r="F28" s="15"/>
      <c r="G28" s="16" t="s">
        <v>139</v>
      </c>
      <c r="H28" s="13" t="s">
        <v>67</v>
      </c>
      <c r="I28" s="17" t="n">
        <v>-33.93494</v>
      </c>
      <c r="J28" s="17" t="n">
        <v>18.43156</v>
      </c>
      <c r="K28" s="13" t="n">
        <v>1</v>
      </c>
      <c r="L28" s="13" t="s">
        <v>80</v>
      </c>
      <c r="M28" s="18" t="s">
        <v>69</v>
      </c>
    </row>
    <row r="29" customFormat="false" ht="15" hidden="false" customHeight="false" outlineLevel="0" collapsed="false">
      <c r="A29" s="13" t="s">
        <v>21</v>
      </c>
      <c r="B29" s="13" t="s">
        <v>100</v>
      </c>
      <c r="C29" s="13" t="s">
        <v>140</v>
      </c>
      <c r="D29" s="13" t="s">
        <v>105</v>
      </c>
      <c r="E29" s="20" t="s">
        <v>13</v>
      </c>
      <c r="F29" s="15"/>
      <c r="G29" s="16" t="s">
        <v>141</v>
      </c>
      <c r="H29" s="13" t="s">
        <v>67</v>
      </c>
      <c r="I29" s="17" t="n">
        <v>-33.94602</v>
      </c>
      <c r="J29" s="17" t="n">
        <v>18.53375</v>
      </c>
      <c r="K29" s="13" t="n">
        <v>4</v>
      </c>
      <c r="L29" s="13" t="s">
        <v>68</v>
      </c>
      <c r="M29" s="18" t="s">
        <v>69</v>
      </c>
    </row>
    <row r="30" customFormat="false" ht="15" hidden="false" customHeight="false" outlineLevel="0" collapsed="false">
      <c r="A30" s="13" t="s">
        <v>21</v>
      </c>
      <c r="B30" s="13" t="s">
        <v>100</v>
      </c>
      <c r="C30" s="13" t="s">
        <v>142</v>
      </c>
      <c r="D30" s="13" t="s">
        <v>105</v>
      </c>
      <c r="E30" s="20" t="s">
        <v>13</v>
      </c>
      <c r="F30" s="15"/>
      <c r="G30" s="16" t="s">
        <v>141</v>
      </c>
      <c r="H30" s="13" t="s">
        <v>67</v>
      </c>
      <c r="I30" s="17" t="n">
        <v>-33.94624</v>
      </c>
      <c r="J30" s="17" t="n">
        <v>18.53594</v>
      </c>
      <c r="K30" s="13" t="n">
        <v>1</v>
      </c>
      <c r="L30" s="13" t="s">
        <v>68</v>
      </c>
      <c r="M30" s="18" t="s">
        <v>69</v>
      </c>
    </row>
    <row r="31" customFormat="false" ht="15" hidden="false" customHeight="false" outlineLevel="0" collapsed="false">
      <c r="A31" s="13" t="s">
        <v>16</v>
      </c>
      <c r="B31" s="13" t="s">
        <v>143</v>
      </c>
      <c r="C31" s="13" t="s">
        <v>144</v>
      </c>
      <c r="D31" s="13" t="s">
        <v>145</v>
      </c>
      <c r="E31" s="14" t="s">
        <v>10</v>
      </c>
      <c r="F31" s="15"/>
      <c r="G31" s="16"/>
      <c r="H31" s="13" t="s">
        <v>67</v>
      </c>
      <c r="I31" s="17" t="n">
        <v>-29.77512</v>
      </c>
      <c r="J31" s="17" t="n">
        <v>31.04417</v>
      </c>
      <c r="K31" s="13" t="n">
        <v>17</v>
      </c>
      <c r="L31" s="13" t="s">
        <v>68</v>
      </c>
      <c r="M31" s="18" t="s">
        <v>69</v>
      </c>
    </row>
    <row r="32" customFormat="false" ht="15" hidden="false" customHeight="false" outlineLevel="0" collapsed="false">
      <c r="A32" s="13" t="s">
        <v>16</v>
      </c>
      <c r="B32" s="13" t="s">
        <v>143</v>
      </c>
      <c r="C32" s="13" t="s">
        <v>146</v>
      </c>
      <c r="D32" s="13" t="s">
        <v>147</v>
      </c>
      <c r="E32" s="14" t="s">
        <v>10</v>
      </c>
      <c r="F32" s="15"/>
      <c r="G32" s="16"/>
      <c r="H32" s="13" t="s">
        <v>67</v>
      </c>
      <c r="I32" s="17" t="n">
        <v>-29.86159</v>
      </c>
      <c r="J32" s="17" t="n">
        <v>31.01056</v>
      </c>
      <c r="K32" s="13" t="n">
        <v>25</v>
      </c>
      <c r="L32" s="13" t="s">
        <v>73</v>
      </c>
      <c r="M32" s="18" t="s">
        <v>69</v>
      </c>
    </row>
    <row r="33" customFormat="false" ht="15" hidden="false" customHeight="false" outlineLevel="0" collapsed="false">
      <c r="A33" s="13" t="s">
        <v>16</v>
      </c>
      <c r="B33" s="13" t="s">
        <v>143</v>
      </c>
      <c r="C33" s="13" t="s">
        <v>148</v>
      </c>
      <c r="D33" s="13" t="s">
        <v>149</v>
      </c>
      <c r="E33" s="14" t="s">
        <v>10</v>
      </c>
      <c r="F33" s="15"/>
      <c r="G33" s="16"/>
      <c r="H33" s="13" t="s">
        <v>67</v>
      </c>
      <c r="I33" s="17" t="n">
        <v>-29.85072</v>
      </c>
      <c r="J33" s="17" t="n">
        <v>31.02471</v>
      </c>
      <c r="K33" s="13" t="n">
        <v>10</v>
      </c>
      <c r="L33" s="13" t="s">
        <v>80</v>
      </c>
      <c r="M33" s="18" t="s">
        <v>69</v>
      </c>
    </row>
    <row r="34" customFormat="false" ht="15" hidden="false" customHeight="false" outlineLevel="0" collapsed="false">
      <c r="A34" s="13" t="s">
        <v>16</v>
      </c>
      <c r="B34" s="13" t="s">
        <v>143</v>
      </c>
      <c r="C34" s="13" t="s">
        <v>150</v>
      </c>
      <c r="D34" s="13" t="s">
        <v>151</v>
      </c>
      <c r="E34" s="14" t="s">
        <v>10</v>
      </c>
      <c r="F34" s="15"/>
      <c r="G34" s="16"/>
      <c r="H34" s="13" t="s">
        <v>67</v>
      </c>
      <c r="I34" s="17" t="n">
        <v>-29.8555</v>
      </c>
      <c r="J34" s="17" t="n">
        <v>31.02215</v>
      </c>
      <c r="K34" s="13" t="n">
        <v>6</v>
      </c>
      <c r="L34" s="13" t="s">
        <v>68</v>
      </c>
      <c r="M34" s="18" t="s">
        <v>69</v>
      </c>
    </row>
    <row r="35" customFormat="false" ht="15" hidden="false" customHeight="false" outlineLevel="0" collapsed="false">
      <c r="A35" s="13" t="s">
        <v>16</v>
      </c>
      <c r="B35" s="13" t="s">
        <v>143</v>
      </c>
      <c r="C35" s="13" t="s">
        <v>152</v>
      </c>
      <c r="D35" s="13" t="s">
        <v>153</v>
      </c>
      <c r="E35" s="14" t="s">
        <v>10</v>
      </c>
      <c r="F35" s="15"/>
      <c r="G35" s="16"/>
      <c r="H35" s="13" t="s">
        <v>67</v>
      </c>
      <c r="I35" s="17" t="n">
        <v>-29.85306</v>
      </c>
      <c r="J35" s="17" t="n">
        <v>31.02189</v>
      </c>
      <c r="K35" s="13" t="n">
        <v>9</v>
      </c>
      <c r="L35" s="13" t="s">
        <v>77</v>
      </c>
      <c r="M35" s="18" t="s">
        <v>69</v>
      </c>
    </row>
    <row r="36" customFormat="false" ht="15" hidden="false" customHeight="false" outlineLevel="0" collapsed="false">
      <c r="A36" s="13" t="s">
        <v>16</v>
      </c>
      <c r="B36" s="13" t="s">
        <v>143</v>
      </c>
      <c r="C36" s="13" t="s">
        <v>154</v>
      </c>
      <c r="D36" s="13" t="s">
        <v>155</v>
      </c>
      <c r="E36" s="14" t="s">
        <v>10</v>
      </c>
      <c r="F36" s="15"/>
      <c r="G36" s="16"/>
      <c r="H36" s="13" t="s">
        <v>67</v>
      </c>
      <c r="I36" s="17" t="n">
        <v>-29.85199</v>
      </c>
      <c r="J36" s="17" t="n">
        <v>31.01534</v>
      </c>
      <c r="K36" s="13" t="n">
        <v>13</v>
      </c>
      <c r="L36" s="13" t="s">
        <v>68</v>
      </c>
      <c r="M36" s="18" t="s">
        <v>69</v>
      </c>
    </row>
    <row r="37" customFormat="false" ht="15" hidden="false" customHeight="false" outlineLevel="0" collapsed="false">
      <c r="A37" s="13" t="s">
        <v>16</v>
      </c>
      <c r="B37" s="13" t="s">
        <v>156</v>
      </c>
      <c r="C37" s="13" t="s">
        <v>157</v>
      </c>
      <c r="D37" s="13" t="s">
        <v>158</v>
      </c>
      <c r="E37" s="14" t="s">
        <v>10</v>
      </c>
      <c r="F37" s="15"/>
      <c r="G37" s="16"/>
      <c r="H37" s="13" t="s">
        <v>67</v>
      </c>
      <c r="I37" s="17" t="n">
        <v>-29.85539</v>
      </c>
      <c r="J37" s="17" t="n">
        <v>30.99818</v>
      </c>
      <c r="K37" s="13" t="n">
        <v>21</v>
      </c>
      <c r="L37" s="13" t="s">
        <v>86</v>
      </c>
      <c r="M37" s="18" t="s">
        <v>69</v>
      </c>
    </row>
    <row r="38" customFormat="false" ht="15" hidden="false" customHeight="false" outlineLevel="0" collapsed="false">
      <c r="A38" s="13" t="s">
        <v>16</v>
      </c>
      <c r="B38" s="13" t="s">
        <v>156</v>
      </c>
      <c r="C38" s="13" t="s">
        <v>159</v>
      </c>
      <c r="D38" s="13" t="s">
        <v>160</v>
      </c>
      <c r="E38" s="14" t="s">
        <v>10</v>
      </c>
      <c r="F38" s="15"/>
      <c r="G38" s="16"/>
      <c r="H38" s="13" t="s">
        <v>67</v>
      </c>
      <c r="I38" s="17" t="n">
        <v>-29.80901</v>
      </c>
      <c r="J38" s="17" t="n">
        <v>31.01436</v>
      </c>
      <c r="K38" s="13" t="n">
        <v>114</v>
      </c>
      <c r="L38" s="13" t="s">
        <v>73</v>
      </c>
      <c r="M38" s="18" t="s">
        <v>69</v>
      </c>
    </row>
    <row r="39" customFormat="false" ht="15" hidden="false" customHeight="false" outlineLevel="0" collapsed="false">
      <c r="A39" s="13" t="s">
        <v>16</v>
      </c>
      <c r="B39" s="13" t="s">
        <v>161</v>
      </c>
      <c r="C39" s="13" t="s">
        <v>162</v>
      </c>
      <c r="D39" s="13" t="s">
        <v>163</v>
      </c>
      <c r="E39" s="14" t="s">
        <v>10</v>
      </c>
      <c r="F39" s="15"/>
      <c r="G39" s="16"/>
      <c r="H39" s="13" t="s">
        <v>67</v>
      </c>
      <c r="I39" s="17" t="n">
        <v>-29.75124</v>
      </c>
      <c r="J39" s="17" t="n">
        <v>31.01204</v>
      </c>
      <c r="K39" s="13" t="n">
        <v>42</v>
      </c>
      <c r="L39" s="13" t="s">
        <v>73</v>
      </c>
      <c r="M39" s="18" t="s">
        <v>69</v>
      </c>
    </row>
    <row r="40" customFormat="false" ht="15" hidden="false" customHeight="false" outlineLevel="0" collapsed="false">
      <c r="A40" s="13" t="s">
        <v>16</v>
      </c>
      <c r="B40" s="13" t="s">
        <v>143</v>
      </c>
      <c r="C40" s="13" t="s">
        <v>164</v>
      </c>
      <c r="D40" s="13" t="s">
        <v>165</v>
      </c>
      <c r="E40" s="14" t="s">
        <v>10</v>
      </c>
      <c r="F40" s="15"/>
      <c r="G40" s="16"/>
      <c r="H40" s="13" t="s">
        <v>67</v>
      </c>
      <c r="I40" s="17" t="n">
        <v>-29.85579</v>
      </c>
      <c r="J40" s="17" t="n">
        <v>31.01159</v>
      </c>
      <c r="K40" s="13" t="n">
        <v>14</v>
      </c>
      <c r="L40" s="13" t="s">
        <v>68</v>
      </c>
      <c r="M40" s="18" t="s">
        <v>69</v>
      </c>
    </row>
    <row r="41" customFormat="false" ht="15" hidden="false" customHeight="false" outlineLevel="0" collapsed="false">
      <c r="A41" s="13" t="s">
        <v>16</v>
      </c>
      <c r="B41" s="13" t="s">
        <v>143</v>
      </c>
      <c r="C41" s="13" t="s">
        <v>166</v>
      </c>
      <c r="D41" s="13" t="s">
        <v>167</v>
      </c>
      <c r="E41" s="14" t="s">
        <v>10</v>
      </c>
      <c r="F41" s="15"/>
      <c r="G41" s="16"/>
      <c r="H41" s="13" t="s">
        <v>67</v>
      </c>
      <c r="I41" s="17" t="n">
        <v>-29.85699</v>
      </c>
      <c r="J41" s="17" t="n">
        <v>31.01484</v>
      </c>
      <c r="K41" s="13" t="n">
        <v>7</v>
      </c>
      <c r="L41" s="13" t="s">
        <v>68</v>
      </c>
      <c r="M41" s="18" t="s">
        <v>69</v>
      </c>
    </row>
    <row r="42" customFormat="false" ht="15" hidden="false" customHeight="false" outlineLevel="0" collapsed="false">
      <c r="A42" s="13" t="s">
        <v>16</v>
      </c>
      <c r="B42" s="13" t="s">
        <v>143</v>
      </c>
      <c r="C42" s="13" t="s">
        <v>168</v>
      </c>
      <c r="D42" s="13" t="s">
        <v>169</v>
      </c>
      <c r="E42" s="14" t="s">
        <v>10</v>
      </c>
      <c r="F42" s="15"/>
      <c r="G42" s="16"/>
      <c r="H42" s="13" t="s">
        <v>67</v>
      </c>
      <c r="I42" s="17" t="n">
        <v>-29.8632</v>
      </c>
      <c r="J42" s="17" t="n">
        <v>31.01513</v>
      </c>
      <c r="K42" s="13" t="n">
        <v>7</v>
      </c>
      <c r="L42" s="13" t="s">
        <v>68</v>
      </c>
      <c r="M42" s="18" t="s">
        <v>69</v>
      </c>
    </row>
    <row r="43" customFormat="false" ht="15" hidden="false" customHeight="false" outlineLevel="0" collapsed="false">
      <c r="A43" s="13" t="s">
        <v>16</v>
      </c>
      <c r="B43" s="13" t="s">
        <v>143</v>
      </c>
      <c r="C43" s="13" t="s">
        <v>170</v>
      </c>
      <c r="D43" s="13" t="s">
        <v>171</v>
      </c>
      <c r="E43" s="14" t="s">
        <v>10</v>
      </c>
      <c r="F43" s="15"/>
      <c r="G43" s="16"/>
      <c r="H43" s="13" t="s">
        <v>67</v>
      </c>
      <c r="I43" s="17" t="n">
        <v>-29.85772</v>
      </c>
      <c r="J43" s="17" t="n">
        <v>31.01855</v>
      </c>
      <c r="K43" s="13" t="n">
        <v>14</v>
      </c>
      <c r="L43" s="13" t="s">
        <v>73</v>
      </c>
      <c r="M43" s="18" t="s">
        <v>69</v>
      </c>
    </row>
    <row r="44" customFormat="false" ht="15" hidden="false" customHeight="false" outlineLevel="0" collapsed="false">
      <c r="A44" s="13" t="s">
        <v>16</v>
      </c>
      <c r="B44" s="13" t="s">
        <v>143</v>
      </c>
      <c r="C44" s="13" t="s">
        <v>172</v>
      </c>
      <c r="D44" s="13" t="s">
        <v>173</v>
      </c>
      <c r="E44" s="14" t="s">
        <v>10</v>
      </c>
      <c r="F44" s="15"/>
      <c r="G44" s="16"/>
      <c r="H44" s="13" t="s">
        <v>67</v>
      </c>
      <c r="I44" s="17" t="n">
        <v>-29.85507</v>
      </c>
      <c r="J44" s="17" t="n">
        <v>31.01458</v>
      </c>
      <c r="K44" s="13" t="n">
        <v>9</v>
      </c>
      <c r="L44" s="13" t="s">
        <v>80</v>
      </c>
      <c r="M44" s="18" t="s">
        <v>69</v>
      </c>
    </row>
    <row r="45" customFormat="false" ht="15" hidden="false" customHeight="false" outlineLevel="0" collapsed="false">
      <c r="A45" s="13" t="s">
        <v>16</v>
      </c>
      <c r="B45" s="13" t="s">
        <v>143</v>
      </c>
      <c r="C45" s="13" t="s">
        <v>174</v>
      </c>
      <c r="D45" s="13" t="s">
        <v>175</v>
      </c>
      <c r="E45" s="14" t="s">
        <v>10</v>
      </c>
      <c r="F45" s="15"/>
      <c r="G45" s="16"/>
      <c r="H45" s="13" t="s">
        <v>67</v>
      </c>
      <c r="I45" s="17" t="n">
        <v>-29.86029</v>
      </c>
      <c r="J45" s="17" t="n">
        <v>31.03445</v>
      </c>
      <c r="K45" s="13" t="n">
        <v>5</v>
      </c>
      <c r="L45" s="13" t="s">
        <v>73</v>
      </c>
      <c r="M45" s="18" t="s">
        <v>69</v>
      </c>
    </row>
    <row r="46" customFormat="false" ht="15" hidden="false" customHeight="false" outlineLevel="0" collapsed="false">
      <c r="A46" s="13" t="s">
        <v>16</v>
      </c>
      <c r="B46" s="13" t="s">
        <v>143</v>
      </c>
      <c r="C46" s="13" t="s">
        <v>176</v>
      </c>
      <c r="D46" s="13" t="s">
        <v>177</v>
      </c>
      <c r="E46" s="14" t="s">
        <v>10</v>
      </c>
      <c r="F46" s="15"/>
      <c r="G46" s="16"/>
      <c r="H46" s="13" t="s">
        <v>67</v>
      </c>
      <c r="I46" s="17" t="n">
        <v>-29.85973</v>
      </c>
      <c r="J46" s="17" t="n">
        <v>31.01551</v>
      </c>
      <c r="K46" s="13" t="n">
        <v>24</v>
      </c>
      <c r="L46" s="13" t="s">
        <v>86</v>
      </c>
      <c r="M46" s="18" t="s">
        <v>69</v>
      </c>
    </row>
    <row r="47" customFormat="false" ht="15" hidden="false" customHeight="false" outlineLevel="0" collapsed="false">
      <c r="A47" s="13" t="s">
        <v>16</v>
      </c>
      <c r="B47" s="13" t="s">
        <v>143</v>
      </c>
      <c r="C47" s="13" t="s">
        <v>178</v>
      </c>
      <c r="D47" s="13" t="s">
        <v>179</v>
      </c>
      <c r="E47" s="14" t="s">
        <v>10</v>
      </c>
      <c r="F47" s="15"/>
      <c r="G47" s="16"/>
      <c r="H47" s="13" t="s">
        <v>67</v>
      </c>
      <c r="I47" s="17" t="n">
        <v>-29.85637</v>
      </c>
      <c r="J47" s="17" t="n">
        <v>31.0171</v>
      </c>
      <c r="K47" s="13" t="n">
        <v>16</v>
      </c>
      <c r="L47" s="13" t="s">
        <v>68</v>
      </c>
      <c r="M47" s="18" t="s">
        <v>69</v>
      </c>
    </row>
    <row r="48" customFormat="false" ht="15" hidden="false" customHeight="false" outlineLevel="0" collapsed="false">
      <c r="A48" s="13" t="s">
        <v>16</v>
      </c>
      <c r="B48" s="13" t="s">
        <v>143</v>
      </c>
      <c r="C48" s="13" t="s">
        <v>180</v>
      </c>
      <c r="D48" s="13" t="s">
        <v>179</v>
      </c>
      <c r="E48" s="14" t="s">
        <v>10</v>
      </c>
      <c r="F48" s="15"/>
      <c r="G48" s="16"/>
      <c r="H48" s="13" t="s">
        <v>67</v>
      </c>
      <c r="I48" s="17" t="n">
        <v>-29.86157</v>
      </c>
      <c r="J48" s="17" t="n">
        <v>31.0182</v>
      </c>
      <c r="K48" s="13" t="n">
        <v>4</v>
      </c>
      <c r="L48" s="13" t="s">
        <v>68</v>
      </c>
      <c r="M48" s="18" t="s">
        <v>69</v>
      </c>
    </row>
    <row r="49" customFormat="false" ht="15" hidden="false" customHeight="false" outlineLevel="0" collapsed="false">
      <c r="A49" s="13" t="s">
        <v>16</v>
      </c>
      <c r="B49" s="13" t="s">
        <v>156</v>
      </c>
      <c r="C49" s="13" t="s">
        <v>181</v>
      </c>
      <c r="D49" s="13" t="s">
        <v>182</v>
      </c>
      <c r="E49" s="14" t="s">
        <v>10</v>
      </c>
      <c r="F49" s="15"/>
      <c r="G49" s="16"/>
      <c r="H49" s="13" t="s">
        <v>67</v>
      </c>
      <c r="I49" s="17" t="n">
        <v>-29.84614</v>
      </c>
      <c r="J49" s="17" t="n">
        <v>30.98579</v>
      </c>
      <c r="K49" s="13" t="n">
        <v>34</v>
      </c>
      <c r="L49" s="13" t="s">
        <v>86</v>
      </c>
      <c r="M49" s="18" t="s">
        <v>69</v>
      </c>
    </row>
    <row r="50" customFormat="false" ht="15" hidden="false" customHeight="false" outlineLevel="0" collapsed="false">
      <c r="A50" s="13" t="s">
        <v>16</v>
      </c>
      <c r="B50" s="13" t="s">
        <v>143</v>
      </c>
      <c r="C50" s="13" t="s">
        <v>183</v>
      </c>
      <c r="D50" s="13" t="s">
        <v>184</v>
      </c>
      <c r="E50" s="14" t="s">
        <v>10</v>
      </c>
      <c r="F50" s="15"/>
      <c r="G50" s="16"/>
      <c r="H50" s="13" t="s">
        <v>67</v>
      </c>
      <c r="I50" s="17" t="n">
        <v>-29.84778</v>
      </c>
      <c r="J50" s="17" t="n">
        <v>31.03061</v>
      </c>
      <c r="K50" s="13" t="n">
        <v>7</v>
      </c>
      <c r="L50" s="13" t="s">
        <v>77</v>
      </c>
      <c r="M50" s="18" t="s">
        <v>69</v>
      </c>
    </row>
    <row r="51" customFormat="false" ht="15" hidden="false" customHeight="false" outlineLevel="0" collapsed="false">
      <c r="A51" s="13" t="s">
        <v>16</v>
      </c>
      <c r="B51" s="13" t="s">
        <v>143</v>
      </c>
      <c r="C51" s="13" t="s">
        <v>185</v>
      </c>
      <c r="D51" s="13" t="s">
        <v>186</v>
      </c>
      <c r="E51" s="14" t="s">
        <v>10</v>
      </c>
      <c r="F51" s="15"/>
      <c r="G51" s="16"/>
      <c r="H51" s="13" t="s">
        <v>67</v>
      </c>
      <c r="I51" s="17" t="n">
        <v>-29.84949</v>
      </c>
      <c r="J51" s="17" t="n">
        <v>31.01373</v>
      </c>
      <c r="K51" s="13" t="n">
        <v>12</v>
      </c>
      <c r="L51" s="13" t="s">
        <v>86</v>
      </c>
      <c r="M51" s="18" t="s">
        <v>69</v>
      </c>
    </row>
    <row r="52" customFormat="false" ht="15" hidden="false" customHeight="false" outlineLevel="0" collapsed="false">
      <c r="A52" s="13" t="s">
        <v>16</v>
      </c>
      <c r="B52" s="13" t="s">
        <v>143</v>
      </c>
      <c r="C52" s="13" t="s">
        <v>187</v>
      </c>
      <c r="D52" s="13" t="s">
        <v>186</v>
      </c>
      <c r="E52" s="14" t="s">
        <v>10</v>
      </c>
      <c r="F52" s="15"/>
      <c r="G52" s="16"/>
      <c r="H52" s="13" t="s">
        <v>67</v>
      </c>
      <c r="I52" s="17" t="n">
        <v>-29.84365</v>
      </c>
      <c r="J52" s="17" t="n">
        <v>31.01774</v>
      </c>
      <c r="K52" s="13" t="n">
        <v>7</v>
      </c>
      <c r="L52" s="13" t="s">
        <v>86</v>
      </c>
      <c r="M52" s="18" t="s">
        <v>69</v>
      </c>
    </row>
    <row r="53" customFormat="false" ht="15" hidden="false" customHeight="false" outlineLevel="0" collapsed="false">
      <c r="A53" s="13" t="s">
        <v>16</v>
      </c>
      <c r="B53" s="13" t="s">
        <v>156</v>
      </c>
      <c r="C53" s="13" t="s">
        <v>188</v>
      </c>
      <c r="D53" s="13" t="s">
        <v>189</v>
      </c>
      <c r="E53" s="14" t="s">
        <v>10</v>
      </c>
      <c r="F53" s="15"/>
      <c r="G53" s="16"/>
      <c r="H53" s="13" t="s">
        <v>67</v>
      </c>
      <c r="I53" s="17" t="n">
        <v>-29.83531</v>
      </c>
      <c r="J53" s="17" t="n">
        <v>31.00446</v>
      </c>
      <c r="K53" s="13" t="n">
        <v>10</v>
      </c>
      <c r="L53" s="13" t="s">
        <v>68</v>
      </c>
      <c r="M53" s="18" t="s">
        <v>69</v>
      </c>
    </row>
    <row r="54" customFormat="false" ht="15" hidden="false" customHeight="false" outlineLevel="0" collapsed="false">
      <c r="A54" s="13" t="s">
        <v>16</v>
      </c>
      <c r="B54" s="13" t="s">
        <v>143</v>
      </c>
      <c r="C54" s="13" t="s">
        <v>190</v>
      </c>
      <c r="D54" s="13" t="s">
        <v>191</v>
      </c>
      <c r="E54" s="14" t="s">
        <v>10</v>
      </c>
      <c r="F54" s="15"/>
      <c r="G54" s="16"/>
      <c r="H54" s="13" t="s">
        <v>67</v>
      </c>
      <c r="I54" s="17" t="n">
        <v>-29.82865</v>
      </c>
      <c r="J54" s="17" t="n">
        <v>31.03404</v>
      </c>
      <c r="K54" s="13" t="n">
        <v>8</v>
      </c>
      <c r="L54" s="13" t="s">
        <v>80</v>
      </c>
      <c r="M54" s="18" t="s">
        <v>69</v>
      </c>
    </row>
    <row r="55" customFormat="false" ht="15" hidden="false" customHeight="false" outlineLevel="0" collapsed="false">
      <c r="A55" s="13" t="s">
        <v>16</v>
      </c>
      <c r="B55" s="13" t="s">
        <v>143</v>
      </c>
      <c r="C55" s="13" t="s">
        <v>192</v>
      </c>
      <c r="D55" s="13" t="s">
        <v>193</v>
      </c>
      <c r="E55" s="14" t="s">
        <v>10</v>
      </c>
      <c r="F55" s="15"/>
      <c r="G55" s="16"/>
      <c r="H55" s="13" t="s">
        <v>67</v>
      </c>
      <c r="I55" s="17" t="n">
        <v>-29.85117</v>
      </c>
      <c r="J55" s="17" t="n">
        <v>31.01523</v>
      </c>
      <c r="K55" s="13" t="n">
        <v>3</v>
      </c>
      <c r="L55" s="13" t="s">
        <v>80</v>
      </c>
      <c r="M55" s="18" t="s">
        <v>69</v>
      </c>
    </row>
    <row r="56" customFormat="false" ht="15" hidden="false" customHeight="false" outlineLevel="0" collapsed="false">
      <c r="A56" s="13" t="s">
        <v>16</v>
      </c>
      <c r="B56" s="13" t="s">
        <v>143</v>
      </c>
      <c r="C56" s="13" t="s">
        <v>194</v>
      </c>
      <c r="D56" s="13" t="s">
        <v>195</v>
      </c>
      <c r="E56" s="14" t="s">
        <v>10</v>
      </c>
      <c r="F56" s="15"/>
      <c r="G56" s="16"/>
      <c r="H56" s="13" t="s">
        <v>67</v>
      </c>
      <c r="I56" s="17" t="n">
        <v>-29.85534</v>
      </c>
      <c r="J56" s="17" t="n">
        <v>31.02112</v>
      </c>
      <c r="K56" s="13" t="n">
        <v>15</v>
      </c>
      <c r="L56" s="13" t="s">
        <v>86</v>
      </c>
      <c r="M56" s="18" t="s">
        <v>69</v>
      </c>
    </row>
    <row r="57" customFormat="false" ht="15" hidden="false" customHeight="false" outlineLevel="0" collapsed="false">
      <c r="A57" s="13" t="s">
        <v>16</v>
      </c>
      <c r="B57" s="13" t="s">
        <v>143</v>
      </c>
      <c r="C57" s="13" t="s">
        <v>196</v>
      </c>
      <c r="D57" s="13" t="s">
        <v>197</v>
      </c>
      <c r="E57" s="14" t="s">
        <v>10</v>
      </c>
      <c r="F57" s="15"/>
      <c r="G57" s="16"/>
      <c r="H57" s="13" t="s">
        <v>67</v>
      </c>
      <c r="I57" s="17" t="n">
        <v>-29.85367</v>
      </c>
      <c r="J57" s="17" t="n">
        <v>31.01241</v>
      </c>
      <c r="K57" s="13" t="n">
        <v>9</v>
      </c>
      <c r="L57" s="13" t="s">
        <v>86</v>
      </c>
      <c r="M57" s="18" t="s">
        <v>69</v>
      </c>
    </row>
    <row r="58" customFormat="false" ht="15" hidden="false" customHeight="false" outlineLevel="0" collapsed="false">
      <c r="A58" s="13" t="s">
        <v>16</v>
      </c>
      <c r="B58" s="13" t="s">
        <v>156</v>
      </c>
      <c r="C58" s="13" t="s">
        <v>198</v>
      </c>
      <c r="D58" s="13" t="s">
        <v>199</v>
      </c>
      <c r="E58" s="14" t="s">
        <v>10</v>
      </c>
      <c r="F58" s="15"/>
      <c r="G58" s="16"/>
      <c r="H58" s="13" t="s">
        <v>67</v>
      </c>
      <c r="I58" s="17" t="n">
        <v>-29.83958</v>
      </c>
      <c r="J58" s="17" t="n">
        <v>30.99773</v>
      </c>
      <c r="K58" s="13" t="n">
        <v>16</v>
      </c>
      <c r="L58" s="13" t="s">
        <v>80</v>
      </c>
      <c r="M58" s="18" t="s">
        <v>69</v>
      </c>
    </row>
    <row r="59" customFormat="false" ht="15" hidden="false" customHeight="false" outlineLevel="0" collapsed="false">
      <c r="A59" s="13" t="s">
        <v>16</v>
      </c>
      <c r="B59" s="13" t="s">
        <v>143</v>
      </c>
      <c r="C59" s="13" t="s">
        <v>200</v>
      </c>
      <c r="D59" s="13" t="s">
        <v>201</v>
      </c>
      <c r="E59" s="14" t="s">
        <v>10</v>
      </c>
      <c r="F59" s="15"/>
      <c r="G59" s="16"/>
      <c r="H59" s="13" t="s">
        <v>67</v>
      </c>
      <c r="I59" s="17" t="n">
        <v>-29.86161</v>
      </c>
      <c r="J59" s="17" t="n">
        <v>31.01593</v>
      </c>
      <c r="K59" s="13" t="n">
        <v>15</v>
      </c>
      <c r="L59" s="13" t="s">
        <v>68</v>
      </c>
      <c r="M59" s="18" t="s">
        <v>69</v>
      </c>
    </row>
    <row r="60" customFormat="false" ht="15" hidden="false" customHeight="false" outlineLevel="0" collapsed="false">
      <c r="A60" s="13" t="s">
        <v>16</v>
      </c>
      <c r="B60" s="13" t="s">
        <v>202</v>
      </c>
      <c r="C60" s="13" t="s">
        <v>203</v>
      </c>
      <c r="D60" s="13" t="s">
        <v>204</v>
      </c>
      <c r="E60" s="14" t="s">
        <v>10</v>
      </c>
      <c r="F60" s="15"/>
      <c r="G60" s="16"/>
      <c r="H60" s="13" t="s">
        <v>67</v>
      </c>
      <c r="I60" s="17" t="n">
        <v>-29.81622</v>
      </c>
      <c r="J60" s="17" t="n">
        <v>30.86471</v>
      </c>
      <c r="K60" s="13" t="n">
        <v>17</v>
      </c>
      <c r="L60" s="13" t="s">
        <v>73</v>
      </c>
      <c r="M60" s="18" t="s">
        <v>69</v>
      </c>
    </row>
    <row r="61" customFormat="false" ht="15" hidden="false" customHeight="false" outlineLevel="0" collapsed="false">
      <c r="A61" s="13" t="s">
        <v>16</v>
      </c>
      <c r="B61" s="13" t="s">
        <v>143</v>
      </c>
      <c r="C61" s="13" t="s">
        <v>205</v>
      </c>
      <c r="D61" s="13" t="s">
        <v>206</v>
      </c>
      <c r="E61" s="14" t="s">
        <v>10</v>
      </c>
      <c r="F61" s="15"/>
      <c r="G61" s="16"/>
      <c r="H61" s="13" t="s">
        <v>67</v>
      </c>
      <c r="I61" s="17" t="n">
        <v>-29.85174</v>
      </c>
      <c r="J61" s="17" t="n">
        <v>31.02563</v>
      </c>
      <c r="K61" s="13" t="n">
        <v>21</v>
      </c>
      <c r="L61" s="13" t="s">
        <v>77</v>
      </c>
      <c r="M61" s="18" t="s">
        <v>69</v>
      </c>
    </row>
    <row r="62" customFormat="false" ht="15" hidden="false" customHeight="false" outlineLevel="0" collapsed="false">
      <c r="A62" s="13" t="s">
        <v>16</v>
      </c>
      <c r="B62" s="13" t="s">
        <v>143</v>
      </c>
      <c r="C62" s="13" t="s">
        <v>207</v>
      </c>
      <c r="D62" s="13" t="s">
        <v>208</v>
      </c>
      <c r="E62" s="14" t="s">
        <v>10</v>
      </c>
      <c r="F62" s="15"/>
      <c r="G62" s="16"/>
      <c r="H62" s="13" t="s">
        <v>67</v>
      </c>
      <c r="I62" s="17" t="n">
        <v>-29.78408</v>
      </c>
      <c r="J62" s="17" t="n">
        <v>31.03637</v>
      </c>
      <c r="K62" s="13" t="n">
        <v>58</v>
      </c>
      <c r="L62" s="13" t="s">
        <v>86</v>
      </c>
      <c r="M62" s="18" t="s">
        <v>69</v>
      </c>
    </row>
    <row r="63" customFormat="false" ht="15" hidden="false" customHeight="false" outlineLevel="0" collapsed="false">
      <c r="A63" s="13" t="s">
        <v>16</v>
      </c>
      <c r="B63" s="13" t="s">
        <v>143</v>
      </c>
      <c r="C63" s="13" t="s">
        <v>209</v>
      </c>
      <c r="D63" s="13" t="s">
        <v>210</v>
      </c>
      <c r="E63" s="14" t="s">
        <v>10</v>
      </c>
      <c r="F63" s="15"/>
      <c r="G63" s="16"/>
      <c r="H63" s="13" t="s">
        <v>67</v>
      </c>
      <c r="I63" s="17" t="n">
        <v>-29.85864</v>
      </c>
      <c r="J63" s="17" t="n">
        <v>31.0111</v>
      </c>
      <c r="K63" s="13" t="n">
        <v>7</v>
      </c>
      <c r="L63" s="13" t="s">
        <v>86</v>
      </c>
      <c r="M63" s="18" t="s">
        <v>69</v>
      </c>
    </row>
    <row r="64" customFormat="false" ht="15" hidden="false" customHeight="false" outlineLevel="0" collapsed="false">
      <c r="A64" s="13" t="s">
        <v>16</v>
      </c>
      <c r="B64" s="13" t="s">
        <v>156</v>
      </c>
      <c r="C64" s="13" t="s">
        <v>211</v>
      </c>
      <c r="D64" s="13" t="s">
        <v>212</v>
      </c>
      <c r="E64" s="14" t="s">
        <v>10</v>
      </c>
      <c r="F64" s="15"/>
      <c r="G64" s="16"/>
      <c r="H64" s="13" t="s">
        <v>67</v>
      </c>
      <c r="I64" s="17" t="n">
        <v>-29.83454</v>
      </c>
      <c r="J64" s="17" t="n">
        <v>30.96973</v>
      </c>
      <c r="K64" s="13" t="n">
        <v>27</v>
      </c>
      <c r="L64" s="13" t="s">
        <v>86</v>
      </c>
      <c r="M64" s="18" t="s">
        <v>69</v>
      </c>
    </row>
    <row r="65" customFormat="false" ht="15" hidden="false" customHeight="false" outlineLevel="0" collapsed="false">
      <c r="A65" s="13" t="s">
        <v>16</v>
      </c>
      <c r="B65" s="13" t="s">
        <v>156</v>
      </c>
      <c r="C65" s="13" t="s">
        <v>213</v>
      </c>
      <c r="D65" s="13" t="s">
        <v>214</v>
      </c>
      <c r="E65" s="14" t="s">
        <v>10</v>
      </c>
      <c r="F65" s="15"/>
      <c r="G65" s="16"/>
      <c r="H65" s="13" t="s">
        <v>67</v>
      </c>
      <c r="I65" s="17" t="n">
        <v>-29.85395</v>
      </c>
      <c r="J65" s="17" t="n">
        <v>31.00005</v>
      </c>
      <c r="K65" s="13" t="n">
        <v>32</v>
      </c>
      <c r="L65" s="13" t="s">
        <v>86</v>
      </c>
      <c r="M65" s="18" t="s">
        <v>69</v>
      </c>
    </row>
    <row r="66" customFormat="false" ht="15" hidden="false" customHeight="false" outlineLevel="0" collapsed="false">
      <c r="A66" s="13" t="s">
        <v>16</v>
      </c>
      <c r="B66" s="13" t="s">
        <v>156</v>
      </c>
      <c r="C66" s="13" t="s">
        <v>215</v>
      </c>
      <c r="D66" s="13" t="s">
        <v>216</v>
      </c>
      <c r="E66" s="14" t="s">
        <v>10</v>
      </c>
      <c r="F66" s="15"/>
      <c r="G66" s="16"/>
      <c r="H66" s="13" t="s">
        <v>67</v>
      </c>
      <c r="I66" s="17" t="n">
        <v>-29.85685</v>
      </c>
      <c r="J66" s="17" t="n">
        <v>30.99455</v>
      </c>
      <c r="K66" s="13" t="n">
        <v>10</v>
      </c>
      <c r="L66" s="13" t="s">
        <v>86</v>
      </c>
      <c r="M66" s="18" t="s">
        <v>69</v>
      </c>
    </row>
    <row r="67" customFormat="false" ht="15" hidden="false" customHeight="false" outlineLevel="0" collapsed="false">
      <c r="A67" s="13" t="s">
        <v>16</v>
      </c>
      <c r="B67" s="13" t="s">
        <v>143</v>
      </c>
      <c r="C67" s="13" t="s">
        <v>217</v>
      </c>
      <c r="D67" s="13" t="s">
        <v>218</v>
      </c>
      <c r="E67" s="14" t="s">
        <v>10</v>
      </c>
      <c r="F67" s="15"/>
      <c r="G67" s="16"/>
      <c r="H67" s="13" t="s">
        <v>67</v>
      </c>
      <c r="I67" s="17" t="n">
        <v>-29.82603</v>
      </c>
      <c r="J67" s="17" t="n">
        <v>31.02193</v>
      </c>
      <c r="K67" s="13" t="n">
        <v>10</v>
      </c>
      <c r="L67" s="13" t="s">
        <v>68</v>
      </c>
      <c r="M67" s="18" t="s">
        <v>69</v>
      </c>
    </row>
    <row r="68" customFormat="false" ht="15" hidden="false" customHeight="false" outlineLevel="0" collapsed="false">
      <c r="A68" s="13" t="s">
        <v>16</v>
      </c>
      <c r="B68" s="13" t="s">
        <v>156</v>
      </c>
      <c r="C68" s="13" t="s">
        <v>219</v>
      </c>
      <c r="D68" s="13" t="s">
        <v>220</v>
      </c>
      <c r="E68" s="14" t="s">
        <v>10</v>
      </c>
      <c r="F68" s="15"/>
      <c r="G68" s="16"/>
      <c r="H68" s="13" t="s">
        <v>67</v>
      </c>
      <c r="I68" s="17" t="n">
        <v>-29.86716</v>
      </c>
      <c r="J68" s="17" t="n">
        <v>31.00028</v>
      </c>
      <c r="K68" s="13" t="n">
        <v>8</v>
      </c>
      <c r="L68" s="13" t="s">
        <v>86</v>
      </c>
      <c r="M68" s="18" t="s">
        <v>69</v>
      </c>
    </row>
    <row r="69" customFormat="false" ht="15" hidden="false" customHeight="false" outlineLevel="0" collapsed="false">
      <c r="A69" s="13" t="s">
        <v>16</v>
      </c>
      <c r="B69" s="13" t="s">
        <v>143</v>
      </c>
      <c r="C69" s="13" t="s">
        <v>221</v>
      </c>
      <c r="D69" s="13" t="s">
        <v>222</v>
      </c>
      <c r="E69" s="14" t="s">
        <v>10</v>
      </c>
      <c r="F69" s="15"/>
      <c r="G69" s="16"/>
      <c r="H69" s="13" t="s">
        <v>67</v>
      </c>
      <c r="I69" s="17" t="n">
        <v>-29.87104</v>
      </c>
      <c r="J69" s="17" t="n">
        <v>31.05247</v>
      </c>
      <c r="K69" s="13" t="n">
        <v>41</v>
      </c>
      <c r="L69" s="13" t="s">
        <v>80</v>
      </c>
      <c r="M69" s="18" t="s">
        <v>69</v>
      </c>
    </row>
    <row r="70" customFormat="false" ht="15" hidden="false" customHeight="false" outlineLevel="0" collapsed="false">
      <c r="A70" s="13" t="s">
        <v>16</v>
      </c>
      <c r="B70" s="13" t="s">
        <v>143</v>
      </c>
      <c r="C70" s="13" t="s">
        <v>223</v>
      </c>
      <c r="D70" s="13" t="s">
        <v>224</v>
      </c>
      <c r="E70" s="14" t="s">
        <v>10</v>
      </c>
      <c r="F70" s="15"/>
      <c r="G70" s="16"/>
      <c r="H70" s="13" t="s">
        <v>67</v>
      </c>
      <c r="I70" s="17" t="n">
        <v>-29.86391</v>
      </c>
      <c r="J70" s="17" t="n">
        <v>31.0181</v>
      </c>
      <c r="K70" s="13" t="n">
        <v>25</v>
      </c>
      <c r="L70" s="13" t="s">
        <v>73</v>
      </c>
      <c r="M70" s="18" t="s">
        <v>69</v>
      </c>
    </row>
    <row r="71" customFormat="false" ht="15" hidden="false" customHeight="false" outlineLevel="0" collapsed="false">
      <c r="A71" s="13" t="s">
        <v>16</v>
      </c>
      <c r="B71" s="13" t="s">
        <v>156</v>
      </c>
      <c r="C71" s="13" t="s">
        <v>225</v>
      </c>
      <c r="D71" s="13" t="s">
        <v>226</v>
      </c>
      <c r="E71" s="14" t="s">
        <v>10</v>
      </c>
      <c r="F71" s="15"/>
      <c r="G71" s="16"/>
      <c r="H71" s="13" t="s">
        <v>67</v>
      </c>
      <c r="I71" s="17" t="n">
        <v>-29.86203</v>
      </c>
      <c r="J71" s="17" t="n">
        <v>30.96733</v>
      </c>
      <c r="K71" s="13" t="n">
        <v>2</v>
      </c>
      <c r="L71" s="13" t="s">
        <v>68</v>
      </c>
      <c r="M71" s="18" t="s">
        <v>69</v>
      </c>
    </row>
    <row r="72" customFormat="false" ht="15" hidden="false" customHeight="false" outlineLevel="0" collapsed="false">
      <c r="A72" s="13" t="s">
        <v>16</v>
      </c>
      <c r="B72" s="13" t="s">
        <v>143</v>
      </c>
      <c r="C72" s="13" t="s">
        <v>227</v>
      </c>
      <c r="D72" s="13" t="s">
        <v>228</v>
      </c>
      <c r="E72" s="14" t="s">
        <v>10</v>
      </c>
      <c r="F72" s="15"/>
      <c r="G72" s="16"/>
      <c r="H72" s="13" t="s">
        <v>67</v>
      </c>
      <c r="I72" s="17" t="n">
        <v>-29.82279</v>
      </c>
      <c r="J72" s="17" t="n">
        <v>31.03263</v>
      </c>
      <c r="K72" s="13" t="n">
        <v>41</v>
      </c>
      <c r="L72" s="13" t="s">
        <v>86</v>
      </c>
      <c r="M72" s="18" t="s">
        <v>69</v>
      </c>
    </row>
    <row r="73" customFormat="false" ht="15" hidden="false" customHeight="false" outlineLevel="0" collapsed="false">
      <c r="A73" s="13" t="s">
        <v>16</v>
      </c>
      <c r="B73" s="13" t="s">
        <v>143</v>
      </c>
      <c r="C73" s="13" t="s">
        <v>229</v>
      </c>
      <c r="D73" s="13" t="s">
        <v>230</v>
      </c>
      <c r="E73" s="14" t="s">
        <v>10</v>
      </c>
      <c r="F73" s="15"/>
      <c r="G73" s="16"/>
      <c r="H73" s="13" t="s">
        <v>67</v>
      </c>
      <c r="I73" s="17" t="n">
        <v>-29.85878</v>
      </c>
      <c r="J73" s="17" t="n">
        <v>31.03687</v>
      </c>
      <c r="K73" s="13" t="n">
        <v>2</v>
      </c>
      <c r="L73" s="13" t="s">
        <v>80</v>
      </c>
      <c r="M73" s="18" t="s">
        <v>69</v>
      </c>
    </row>
    <row r="74" customFormat="false" ht="15" hidden="false" customHeight="false" outlineLevel="0" collapsed="false">
      <c r="A74" s="13" t="s">
        <v>16</v>
      </c>
      <c r="B74" s="13" t="s">
        <v>143</v>
      </c>
      <c r="C74" s="13" t="s">
        <v>231</v>
      </c>
      <c r="D74" s="13" t="s">
        <v>232</v>
      </c>
      <c r="E74" s="14" t="s">
        <v>10</v>
      </c>
      <c r="F74" s="15"/>
      <c r="G74" s="16"/>
      <c r="H74" s="13" t="s">
        <v>67</v>
      </c>
      <c r="I74" s="17" t="n">
        <v>-29.84981</v>
      </c>
      <c r="J74" s="17" t="n">
        <v>31.01819</v>
      </c>
      <c r="K74" s="13" t="n">
        <v>6</v>
      </c>
      <c r="L74" s="13" t="s">
        <v>68</v>
      </c>
      <c r="M74" s="18" t="s">
        <v>69</v>
      </c>
    </row>
    <row r="75" customFormat="false" ht="15" hidden="false" customHeight="false" outlineLevel="0" collapsed="false">
      <c r="A75" s="13" t="s">
        <v>16</v>
      </c>
      <c r="B75" s="13" t="s">
        <v>143</v>
      </c>
      <c r="C75" s="13" t="s">
        <v>233</v>
      </c>
      <c r="D75" s="13" t="s">
        <v>232</v>
      </c>
      <c r="E75" s="14" t="s">
        <v>10</v>
      </c>
      <c r="F75" s="15"/>
      <c r="G75" s="16"/>
      <c r="H75" s="13" t="s">
        <v>67</v>
      </c>
      <c r="I75" s="17" t="n">
        <v>-29.83896</v>
      </c>
      <c r="J75" s="17" t="n">
        <v>31.02086</v>
      </c>
      <c r="K75" s="13" t="n">
        <v>14</v>
      </c>
      <c r="L75" s="13" t="s">
        <v>68</v>
      </c>
      <c r="M75" s="18" t="s">
        <v>69</v>
      </c>
    </row>
    <row r="76" customFormat="false" ht="15" hidden="false" customHeight="false" outlineLevel="0" collapsed="false">
      <c r="A76" s="13" t="s">
        <v>16</v>
      </c>
      <c r="B76" s="13" t="s">
        <v>143</v>
      </c>
      <c r="C76" s="13" t="s">
        <v>234</v>
      </c>
      <c r="D76" s="13" t="s">
        <v>235</v>
      </c>
      <c r="E76" s="14" t="s">
        <v>10</v>
      </c>
      <c r="F76" s="15"/>
      <c r="G76" s="16"/>
      <c r="H76" s="13" t="s">
        <v>67</v>
      </c>
      <c r="I76" s="17" t="n">
        <v>-29.86204</v>
      </c>
      <c r="J76" s="17" t="n">
        <v>31.01536</v>
      </c>
      <c r="K76" s="13" t="n">
        <v>3</v>
      </c>
      <c r="L76" s="13" t="s">
        <v>80</v>
      </c>
      <c r="M76" s="18" t="s">
        <v>69</v>
      </c>
    </row>
    <row r="77" customFormat="false" ht="15" hidden="false" customHeight="false" outlineLevel="0" collapsed="false">
      <c r="A77" s="13" t="s">
        <v>16</v>
      </c>
      <c r="B77" s="13" t="s">
        <v>143</v>
      </c>
      <c r="C77" s="13" t="s">
        <v>236</v>
      </c>
      <c r="D77" s="13" t="s">
        <v>237</v>
      </c>
      <c r="E77" s="14" t="s">
        <v>10</v>
      </c>
      <c r="F77" s="15"/>
      <c r="G77" s="16"/>
      <c r="H77" s="13" t="s">
        <v>67</v>
      </c>
      <c r="I77" s="17" t="n">
        <v>-29.85834</v>
      </c>
      <c r="J77" s="17" t="n">
        <v>31.01608</v>
      </c>
      <c r="K77" s="13" t="n">
        <v>20</v>
      </c>
      <c r="L77" s="13" t="s">
        <v>73</v>
      </c>
      <c r="M77" s="18" t="s">
        <v>69</v>
      </c>
    </row>
    <row r="78" customFormat="false" ht="15" hidden="false" customHeight="false" outlineLevel="0" collapsed="false">
      <c r="A78" s="13" t="s">
        <v>16</v>
      </c>
      <c r="B78" s="13" t="s">
        <v>143</v>
      </c>
      <c r="C78" s="13" t="s">
        <v>238</v>
      </c>
      <c r="D78" s="13" t="s">
        <v>239</v>
      </c>
      <c r="E78" s="14" t="s">
        <v>10</v>
      </c>
      <c r="F78" s="15"/>
      <c r="G78" s="16"/>
      <c r="H78" s="13" t="s">
        <v>67</v>
      </c>
      <c r="I78" s="17" t="n">
        <v>-29.84943</v>
      </c>
      <c r="J78" s="17" t="n">
        <v>31.03698</v>
      </c>
      <c r="K78" s="13" t="n">
        <v>9</v>
      </c>
      <c r="L78" s="13" t="s">
        <v>86</v>
      </c>
      <c r="M78" s="18" t="s">
        <v>69</v>
      </c>
    </row>
    <row r="79" customFormat="false" ht="15" hidden="false" customHeight="false" outlineLevel="0" collapsed="false">
      <c r="A79" s="13" t="s">
        <v>16</v>
      </c>
      <c r="B79" s="13" t="s">
        <v>156</v>
      </c>
      <c r="C79" s="13" t="s">
        <v>240</v>
      </c>
      <c r="D79" s="13" t="s">
        <v>241</v>
      </c>
      <c r="E79" s="14" t="s">
        <v>10</v>
      </c>
      <c r="F79" s="15"/>
      <c r="G79" s="16" t="s">
        <v>242</v>
      </c>
      <c r="H79" s="13" t="s">
        <v>67</v>
      </c>
      <c r="I79" s="17" t="n">
        <v>-29.83494</v>
      </c>
      <c r="J79" s="17" t="n">
        <v>31.00074</v>
      </c>
      <c r="K79" s="13" t="n">
        <v>17</v>
      </c>
      <c r="L79" s="13" t="s">
        <v>68</v>
      </c>
      <c r="M79" s="18" t="s">
        <v>69</v>
      </c>
    </row>
    <row r="80" customFormat="false" ht="15" hidden="false" customHeight="false" outlineLevel="0" collapsed="false">
      <c r="A80" s="13" t="s">
        <v>16</v>
      </c>
      <c r="B80" s="13" t="s">
        <v>156</v>
      </c>
      <c r="C80" s="13" t="s">
        <v>243</v>
      </c>
      <c r="D80" s="13" t="s">
        <v>244</v>
      </c>
      <c r="E80" s="14" t="s">
        <v>10</v>
      </c>
      <c r="F80" s="15"/>
      <c r="G80" s="16"/>
      <c r="H80" s="13" t="s">
        <v>67</v>
      </c>
      <c r="I80" s="17" t="n">
        <v>-29.83339</v>
      </c>
      <c r="J80" s="17" t="n">
        <v>31.01429</v>
      </c>
      <c r="K80" s="13" t="n">
        <v>4</v>
      </c>
      <c r="L80" s="13" t="s">
        <v>80</v>
      </c>
      <c r="M80" s="18" t="s">
        <v>69</v>
      </c>
    </row>
    <row r="81" customFormat="false" ht="15" hidden="false" customHeight="false" outlineLevel="0" collapsed="false">
      <c r="A81" s="13" t="s">
        <v>16</v>
      </c>
      <c r="B81" s="13" t="s">
        <v>156</v>
      </c>
      <c r="C81" s="13" t="s">
        <v>245</v>
      </c>
      <c r="D81" s="13" t="s">
        <v>244</v>
      </c>
      <c r="E81" s="14" t="s">
        <v>10</v>
      </c>
      <c r="F81" s="15"/>
      <c r="G81" s="16"/>
      <c r="H81" s="13" t="s">
        <v>67</v>
      </c>
      <c r="I81" s="17" t="n">
        <v>-29.84688</v>
      </c>
      <c r="J81" s="17" t="n">
        <v>31.00481</v>
      </c>
      <c r="K81" s="13" t="n">
        <v>5</v>
      </c>
      <c r="L81" s="13" t="s">
        <v>73</v>
      </c>
      <c r="M81" s="18" t="s">
        <v>69</v>
      </c>
    </row>
    <row r="82" customFormat="false" ht="15" hidden="false" customHeight="false" outlineLevel="0" collapsed="false">
      <c r="A82" s="13" t="s">
        <v>16</v>
      </c>
      <c r="B82" s="13" t="s">
        <v>156</v>
      </c>
      <c r="C82" s="13" t="s">
        <v>246</v>
      </c>
      <c r="D82" s="13" t="s">
        <v>247</v>
      </c>
      <c r="E82" s="14" t="s">
        <v>10</v>
      </c>
      <c r="F82" s="15"/>
      <c r="G82" s="16"/>
      <c r="H82" s="13" t="s">
        <v>67</v>
      </c>
      <c r="I82" s="17" t="n">
        <v>-29.82548</v>
      </c>
      <c r="J82" s="17" t="n">
        <v>30.99591</v>
      </c>
      <c r="K82" s="13" t="n">
        <v>18</v>
      </c>
      <c r="L82" s="13" t="s">
        <v>68</v>
      </c>
      <c r="M82" s="18" t="s">
        <v>69</v>
      </c>
    </row>
    <row r="83" customFormat="false" ht="15" hidden="false" customHeight="false" outlineLevel="0" collapsed="false">
      <c r="A83" s="13" t="s">
        <v>16</v>
      </c>
      <c r="B83" s="13" t="s">
        <v>156</v>
      </c>
      <c r="C83" s="13" t="s">
        <v>248</v>
      </c>
      <c r="D83" s="13" t="s">
        <v>249</v>
      </c>
      <c r="E83" s="14" t="s">
        <v>10</v>
      </c>
      <c r="F83" s="15"/>
      <c r="G83" s="16" t="s">
        <v>250</v>
      </c>
      <c r="H83" s="13" t="s">
        <v>67</v>
      </c>
      <c r="I83" s="17" t="n">
        <v>-29.87393</v>
      </c>
      <c r="J83" s="17" t="n">
        <v>30.98177</v>
      </c>
      <c r="K83" s="13" t="n">
        <v>47</v>
      </c>
      <c r="L83" s="13" t="s">
        <v>86</v>
      </c>
      <c r="M83" s="18" t="s">
        <v>69</v>
      </c>
    </row>
    <row r="84" customFormat="false" ht="15" hidden="false" customHeight="false" outlineLevel="0" collapsed="false">
      <c r="A84" s="13" t="s">
        <v>16</v>
      </c>
      <c r="B84" s="13" t="s">
        <v>143</v>
      </c>
      <c r="C84" s="13" t="s">
        <v>251</v>
      </c>
      <c r="D84" s="13" t="s">
        <v>252</v>
      </c>
      <c r="E84" s="14" t="s">
        <v>10</v>
      </c>
      <c r="F84" s="15"/>
      <c r="G84" s="16"/>
      <c r="H84" s="13" t="s">
        <v>67</v>
      </c>
      <c r="I84" s="17" t="n">
        <v>-29.83543</v>
      </c>
      <c r="J84" s="17" t="n">
        <v>31.03122</v>
      </c>
      <c r="K84" s="13" t="n">
        <v>14</v>
      </c>
      <c r="L84" s="13" t="s">
        <v>89</v>
      </c>
      <c r="M84" s="18" t="s">
        <v>69</v>
      </c>
    </row>
    <row r="85" customFormat="false" ht="15" hidden="false" customHeight="false" outlineLevel="0" collapsed="false">
      <c r="A85" s="13" t="s">
        <v>16</v>
      </c>
      <c r="B85" s="13" t="s">
        <v>143</v>
      </c>
      <c r="C85" s="13" t="s">
        <v>253</v>
      </c>
      <c r="D85" s="13" t="s">
        <v>254</v>
      </c>
      <c r="E85" s="14" t="s">
        <v>10</v>
      </c>
      <c r="F85" s="15"/>
      <c r="G85" s="16"/>
      <c r="H85" s="13" t="s">
        <v>67</v>
      </c>
      <c r="I85" s="17" t="n">
        <v>-29.86031</v>
      </c>
      <c r="J85" s="17" t="n">
        <v>31.02834</v>
      </c>
      <c r="K85" s="13" t="n">
        <v>15</v>
      </c>
      <c r="L85" s="13" t="s">
        <v>86</v>
      </c>
      <c r="M85" s="18" t="s">
        <v>69</v>
      </c>
    </row>
    <row r="86" customFormat="false" ht="15" hidden="false" customHeight="false" outlineLevel="0" collapsed="false">
      <c r="A86" s="13" t="s">
        <v>16</v>
      </c>
      <c r="B86" s="13" t="s">
        <v>143</v>
      </c>
      <c r="C86" s="13" t="s">
        <v>255</v>
      </c>
      <c r="D86" s="13" t="s">
        <v>256</v>
      </c>
      <c r="E86" s="14" t="s">
        <v>10</v>
      </c>
      <c r="F86" s="15"/>
      <c r="G86" s="16"/>
      <c r="H86" s="13" t="s">
        <v>67</v>
      </c>
      <c r="I86" s="17" t="n">
        <v>-29.83742</v>
      </c>
      <c r="J86" s="17" t="n">
        <v>31.02539</v>
      </c>
      <c r="K86" s="13" t="n">
        <v>61</v>
      </c>
      <c r="L86" s="13" t="s">
        <v>73</v>
      </c>
      <c r="M86" s="18" t="s">
        <v>69</v>
      </c>
    </row>
    <row r="87" customFormat="false" ht="15" hidden="false" customHeight="false" outlineLevel="0" collapsed="false">
      <c r="A87" s="13" t="s">
        <v>16</v>
      </c>
      <c r="B87" s="13" t="s">
        <v>143</v>
      </c>
      <c r="C87" s="13" t="s">
        <v>257</v>
      </c>
      <c r="D87" s="13" t="s">
        <v>258</v>
      </c>
      <c r="E87" s="14" t="s">
        <v>10</v>
      </c>
      <c r="F87" s="15"/>
      <c r="G87" s="16"/>
      <c r="H87" s="13" t="s">
        <v>67</v>
      </c>
      <c r="I87" s="17" t="n">
        <v>-29.81995</v>
      </c>
      <c r="J87" s="17" t="n">
        <v>31.02349</v>
      </c>
      <c r="K87" s="13" t="n">
        <v>8</v>
      </c>
      <c r="L87" s="13" t="s">
        <v>68</v>
      </c>
      <c r="M87" s="18" t="s">
        <v>69</v>
      </c>
    </row>
    <row r="88" customFormat="false" ht="15" hidden="false" customHeight="false" outlineLevel="0" collapsed="false">
      <c r="A88" s="13" t="s">
        <v>16</v>
      </c>
      <c r="B88" s="13" t="s">
        <v>156</v>
      </c>
      <c r="C88" s="13" t="s">
        <v>259</v>
      </c>
      <c r="D88" s="13" t="s">
        <v>260</v>
      </c>
      <c r="E88" s="14" t="s">
        <v>10</v>
      </c>
      <c r="F88" s="15"/>
      <c r="G88" s="16"/>
      <c r="H88" s="13" t="s">
        <v>67</v>
      </c>
      <c r="I88" s="17" t="n">
        <v>-29.8809</v>
      </c>
      <c r="J88" s="17" t="n">
        <v>30.96162</v>
      </c>
      <c r="K88" s="13" t="n">
        <v>63</v>
      </c>
      <c r="L88" s="13" t="s">
        <v>77</v>
      </c>
      <c r="M88" s="18" t="s">
        <v>69</v>
      </c>
    </row>
    <row r="89" customFormat="false" ht="15" hidden="false" customHeight="false" outlineLevel="0" collapsed="false">
      <c r="A89" s="13" t="s">
        <v>16</v>
      </c>
      <c r="B89" s="13" t="s">
        <v>156</v>
      </c>
      <c r="C89" s="13" t="s">
        <v>261</v>
      </c>
      <c r="D89" s="13" t="s">
        <v>262</v>
      </c>
      <c r="E89" s="14" t="s">
        <v>10</v>
      </c>
      <c r="F89" s="15"/>
      <c r="G89" s="16"/>
      <c r="H89" s="13" t="s">
        <v>67</v>
      </c>
      <c r="I89" s="17" t="n">
        <v>-29.8811</v>
      </c>
      <c r="J89" s="17" t="n">
        <v>30.98405</v>
      </c>
      <c r="K89" s="13" t="n">
        <v>9</v>
      </c>
      <c r="L89" s="13" t="s">
        <v>68</v>
      </c>
      <c r="M89" s="18" t="s">
        <v>69</v>
      </c>
    </row>
    <row r="90" customFormat="false" ht="15" hidden="false" customHeight="false" outlineLevel="0" collapsed="false">
      <c r="A90" s="13" t="s">
        <v>16</v>
      </c>
      <c r="B90" s="13" t="s">
        <v>143</v>
      </c>
      <c r="C90" s="13" t="s">
        <v>263</v>
      </c>
      <c r="D90" s="13" t="s">
        <v>264</v>
      </c>
      <c r="E90" s="14" t="s">
        <v>10</v>
      </c>
      <c r="F90" s="15"/>
      <c r="G90" s="16"/>
      <c r="H90" s="13" t="s">
        <v>67</v>
      </c>
      <c r="I90" s="17" t="n">
        <v>-29.84165</v>
      </c>
      <c r="J90" s="17" t="n">
        <v>31.02967</v>
      </c>
      <c r="K90" s="13" t="n">
        <v>27</v>
      </c>
      <c r="L90" s="13" t="s">
        <v>77</v>
      </c>
      <c r="M90" s="18" t="s">
        <v>69</v>
      </c>
    </row>
    <row r="91" customFormat="false" ht="15" hidden="false" customHeight="false" outlineLevel="0" collapsed="false">
      <c r="A91" s="13" t="s">
        <v>16</v>
      </c>
      <c r="B91" s="13" t="s">
        <v>156</v>
      </c>
      <c r="C91" s="13" t="s">
        <v>265</v>
      </c>
      <c r="D91" s="13" t="s">
        <v>266</v>
      </c>
      <c r="E91" s="14" t="s">
        <v>10</v>
      </c>
      <c r="F91" s="15"/>
      <c r="G91" s="16"/>
      <c r="H91" s="13" t="s">
        <v>67</v>
      </c>
      <c r="I91" s="17" t="n">
        <v>-29.84847</v>
      </c>
      <c r="J91" s="17" t="n">
        <v>30.99808</v>
      </c>
      <c r="K91" s="13" t="n">
        <v>21</v>
      </c>
      <c r="L91" s="13" t="s">
        <v>86</v>
      </c>
      <c r="M91" s="18" t="s">
        <v>69</v>
      </c>
    </row>
    <row r="92" customFormat="false" ht="15" hidden="false" customHeight="false" outlineLevel="0" collapsed="false">
      <c r="A92" s="13" t="s">
        <v>16</v>
      </c>
      <c r="B92" s="13" t="s">
        <v>143</v>
      </c>
      <c r="C92" s="13" t="s">
        <v>267</v>
      </c>
      <c r="D92" s="13" t="s">
        <v>268</v>
      </c>
      <c r="E92" s="14" t="s">
        <v>10</v>
      </c>
      <c r="F92" s="15"/>
      <c r="G92" s="16"/>
      <c r="H92" s="13" t="s">
        <v>67</v>
      </c>
      <c r="I92" s="17" t="n">
        <v>-29.78392</v>
      </c>
      <c r="J92" s="17" t="n">
        <v>31.0365</v>
      </c>
      <c r="K92" s="13" t="n">
        <v>34</v>
      </c>
      <c r="L92" s="13" t="s">
        <v>68</v>
      </c>
      <c r="M92" s="18" t="s">
        <v>69</v>
      </c>
    </row>
    <row r="93" customFormat="false" ht="15" hidden="false" customHeight="false" outlineLevel="0" collapsed="false">
      <c r="A93" s="13" t="s">
        <v>16</v>
      </c>
      <c r="B93" s="13" t="s">
        <v>143</v>
      </c>
      <c r="C93" s="13" t="s">
        <v>269</v>
      </c>
      <c r="D93" s="13" t="s">
        <v>270</v>
      </c>
      <c r="E93" s="14" t="s">
        <v>10</v>
      </c>
      <c r="F93" s="15"/>
      <c r="G93" s="16"/>
      <c r="H93" s="13" t="s">
        <v>67</v>
      </c>
      <c r="I93" s="17" t="n">
        <v>-29.84235</v>
      </c>
      <c r="J93" s="17" t="n">
        <v>31.03229</v>
      </c>
      <c r="K93" s="13" t="n">
        <v>25</v>
      </c>
      <c r="L93" s="13" t="s">
        <v>73</v>
      </c>
      <c r="M93" s="18" t="s">
        <v>69</v>
      </c>
    </row>
    <row r="94" customFormat="false" ht="15" hidden="false" customHeight="false" outlineLevel="0" collapsed="false">
      <c r="A94" s="13" t="s">
        <v>16</v>
      </c>
      <c r="B94" s="13" t="s">
        <v>156</v>
      </c>
      <c r="C94" s="13" t="s">
        <v>271</v>
      </c>
      <c r="D94" s="13" t="s">
        <v>272</v>
      </c>
      <c r="E94" s="14" t="s">
        <v>10</v>
      </c>
      <c r="F94" s="15"/>
      <c r="G94" s="16"/>
      <c r="H94" s="13" t="s">
        <v>67</v>
      </c>
      <c r="I94" s="17" t="n">
        <v>-29.86984</v>
      </c>
      <c r="J94" s="17" t="n">
        <v>30.98953</v>
      </c>
      <c r="K94" s="13" t="n">
        <v>12</v>
      </c>
      <c r="L94" s="13" t="s">
        <v>68</v>
      </c>
      <c r="M94" s="18" t="s">
        <v>69</v>
      </c>
    </row>
    <row r="95" customFormat="false" ht="15" hidden="false" customHeight="false" outlineLevel="0" collapsed="false">
      <c r="A95" s="13" t="s">
        <v>16</v>
      </c>
      <c r="B95" s="13" t="s">
        <v>156</v>
      </c>
      <c r="C95" s="13" t="s">
        <v>213</v>
      </c>
      <c r="D95" s="13" t="s">
        <v>273</v>
      </c>
      <c r="E95" s="19" t="s">
        <v>12</v>
      </c>
      <c r="F95" s="15"/>
      <c r="G95" s="16" t="s">
        <v>274</v>
      </c>
      <c r="H95" s="13" t="s">
        <v>67</v>
      </c>
      <c r="I95" s="17" t="n">
        <v>-29.85471</v>
      </c>
      <c r="J95" s="17" t="n">
        <v>31.00401</v>
      </c>
      <c r="K95" s="13" t="n">
        <v>2</v>
      </c>
      <c r="L95" s="13" t="s">
        <v>86</v>
      </c>
      <c r="M95" s="18" t="s">
        <v>69</v>
      </c>
    </row>
    <row r="96" customFormat="false" ht="15" hidden="false" customHeight="false" outlineLevel="0" collapsed="false">
      <c r="A96" s="13" t="s">
        <v>16</v>
      </c>
      <c r="B96" s="13" t="s">
        <v>143</v>
      </c>
      <c r="C96" s="13" t="s">
        <v>275</v>
      </c>
      <c r="D96" s="13" t="s">
        <v>276</v>
      </c>
      <c r="E96" s="19" t="s">
        <v>12</v>
      </c>
      <c r="F96" s="15"/>
      <c r="G96" s="16" t="s">
        <v>277</v>
      </c>
      <c r="H96" s="13" t="s">
        <v>67</v>
      </c>
      <c r="I96" s="17" t="n">
        <v>-29.84943</v>
      </c>
      <c r="J96" s="17" t="n">
        <v>31.01786</v>
      </c>
      <c r="K96" s="13" t="n">
        <v>15</v>
      </c>
      <c r="L96" s="13" t="s">
        <v>86</v>
      </c>
      <c r="M96" s="18" t="s">
        <v>69</v>
      </c>
    </row>
    <row r="97" customFormat="false" ht="15" hidden="false" customHeight="false" outlineLevel="0" collapsed="false">
      <c r="A97" s="13" t="s">
        <v>16</v>
      </c>
      <c r="B97" s="13" t="s">
        <v>161</v>
      </c>
      <c r="C97" s="13" t="s">
        <v>278</v>
      </c>
      <c r="D97" s="13" t="s">
        <v>163</v>
      </c>
      <c r="E97" s="20" t="s">
        <v>13</v>
      </c>
      <c r="F97" s="15"/>
      <c r="G97" s="16" t="s">
        <v>279</v>
      </c>
      <c r="H97" s="13" t="s">
        <v>67</v>
      </c>
      <c r="I97" s="17" t="n">
        <v>-29.73762</v>
      </c>
      <c r="J97" s="17" t="n">
        <v>30.98629</v>
      </c>
      <c r="K97" s="13" t="n">
        <v>1</v>
      </c>
      <c r="L97" s="13" t="s">
        <v>80</v>
      </c>
      <c r="M97" s="18" t="s">
        <v>69</v>
      </c>
    </row>
    <row r="98" customFormat="false" ht="15" hidden="false" customHeight="false" outlineLevel="0" collapsed="false">
      <c r="A98" s="13" t="s">
        <v>16</v>
      </c>
      <c r="B98" s="13" t="s">
        <v>161</v>
      </c>
      <c r="C98" s="13" t="s">
        <v>280</v>
      </c>
      <c r="D98" s="13" t="s">
        <v>281</v>
      </c>
      <c r="E98" s="20" t="s">
        <v>13</v>
      </c>
      <c r="F98" s="15"/>
      <c r="G98" s="16" t="s">
        <v>282</v>
      </c>
      <c r="H98" s="13" t="s">
        <v>67</v>
      </c>
      <c r="I98" s="17" t="n">
        <v>-29.68685</v>
      </c>
      <c r="J98" s="17" t="n">
        <v>31.02189</v>
      </c>
      <c r="K98" s="13" t="n">
        <v>1</v>
      </c>
      <c r="L98" s="13" t="s">
        <v>80</v>
      </c>
      <c r="M98" s="18" t="s">
        <v>69</v>
      </c>
    </row>
    <row r="99" customFormat="false" ht="15" hidden="false" customHeight="false" outlineLevel="0" collapsed="false">
      <c r="A99" s="13" t="s">
        <v>16</v>
      </c>
      <c r="B99" s="13" t="s">
        <v>161</v>
      </c>
      <c r="C99" s="13" t="s">
        <v>283</v>
      </c>
      <c r="D99" s="13" t="s">
        <v>284</v>
      </c>
      <c r="E99" s="20" t="s">
        <v>13</v>
      </c>
      <c r="F99" s="15"/>
      <c r="G99" s="16" t="s">
        <v>282</v>
      </c>
      <c r="H99" s="13" t="s">
        <v>67</v>
      </c>
      <c r="I99" s="17" t="n">
        <v>-29.6873</v>
      </c>
      <c r="J99" s="17" t="n">
        <v>31.02191</v>
      </c>
      <c r="K99" s="13" t="n">
        <v>1</v>
      </c>
      <c r="L99" s="13" t="s">
        <v>80</v>
      </c>
      <c r="M99" s="18" t="s">
        <v>69</v>
      </c>
    </row>
    <row r="100" customFormat="false" ht="15" hidden="false" customHeight="false" outlineLevel="0" collapsed="false">
      <c r="A100" s="13" t="s">
        <v>16</v>
      </c>
      <c r="B100" s="13" t="s">
        <v>161</v>
      </c>
      <c r="C100" s="13" t="s">
        <v>285</v>
      </c>
      <c r="D100" s="13" t="s">
        <v>286</v>
      </c>
      <c r="E100" s="20" t="s">
        <v>13</v>
      </c>
      <c r="F100" s="15"/>
      <c r="G100" s="16" t="s">
        <v>282</v>
      </c>
      <c r="H100" s="13" t="s">
        <v>67</v>
      </c>
      <c r="I100" s="17" t="n">
        <v>-29.68697</v>
      </c>
      <c r="J100" s="17" t="n">
        <v>31.0216</v>
      </c>
      <c r="K100" s="13" t="n">
        <v>1</v>
      </c>
      <c r="L100" s="13" t="s">
        <v>80</v>
      </c>
      <c r="M100" s="18" t="s">
        <v>69</v>
      </c>
    </row>
    <row r="101" customFormat="false" ht="15" hidden="false" customHeight="false" outlineLevel="0" collapsed="false">
      <c r="A101" s="13" t="s">
        <v>16</v>
      </c>
      <c r="B101" s="13" t="s">
        <v>143</v>
      </c>
      <c r="C101" s="13" t="s">
        <v>287</v>
      </c>
      <c r="D101" s="13" t="s">
        <v>288</v>
      </c>
      <c r="E101" s="20" t="s">
        <v>13</v>
      </c>
      <c r="F101" s="15"/>
      <c r="G101" s="16" t="s">
        <v>289</v>
      </c>
      <c r="H101" s="13" t="s">
        <v>67</v>
      </c>
      <c r="I101" s="17" t="n">
        <v>-29.86745</v>
      </c>
      <c r="J101" s="17" t="n">
        <v>31.01403</v>
      </c>
      <c r="K101" s="13" t="n">
        <v>5</v>
      </c>
      <c r="L101" s="13" t="s">
        <v>123</v>
      </c>
      <c r="M101" s="18" t="s">
        <v>69</v>
      </c>
    </row>
    <row r="102" customFormat="false" ht="15" hidden="false" customHeight="false" outlineLevel="0" collapsed="false">
      <c r="A102" s="13" t="s">
        <v>16</v>
      </c>
      <c r="B102" s="13" t="s">
        <v>161</v>
      </c>
      <c r="C102" s="13" t="s">
        <v>290</v>
      </c>
      <c r="D102" s="13" t="s">
        <v>291</v>
      </c>
      <c r="E102" s="20" t="s">
        <v>13</v>
      </c>
      <c r="F102" s="15"/>
      <c r="G102" s="16" t="s">
        <v>282</v>
      </c>
      <c r="H102" s="13" t="s">
        <v>67</v>
      </c>
      <c r="I102" s="17" t="n">
        <v>-29.68356</v>
      </c>
      <c r="J102" s="17" t="n">
        <v>31.00382</v>
      </c>
      <c r="K102" s="13" t="n">
        <v>2</v>
      </c>
      <c r="L102" s="13" t="s">
        <v>80</v>
      </c>
      <c r="M102" s="18" t="s">
        <v>69</v>
      </c>
    </row>
    <row r="103" customFormat="false" ht="15" hidden="false" customHeight="false" outlineLevel="0" collapsed="false">
      <c r="A103" s="13" t="s">
        <v>32</v>
      </c>
      <c r="B103" s="13" t="s">
        <v>292</v>
      </c>
      <c r="C103" s="13" t="s">
        <v>293</v>
      </c>
      <c r="D103" s="13" t="s">
        <v>294</v>
      </c>
      <c r="E103" s="19" t="s">
        <v>12</v>
      </c>
      <c r="F103" s="15"/>
      <c r="G103" s="16" t="s">
        <v>295</v>
      </c>
      <c r="H103" s="13" t="s">
        <v>67</v>
      </c>
      <c r="I103" s="17" t="n">
        <v>-33.02311</v>
      </c>
      <c r="J103" s="17" t="n">
        <v>27.89489</v>
      </c>
      <c r="K103" s="13" t="n">
        <v>1</v>
      </c>
      <c r="L103" s="13" t="s">
        <v>68</v>
      </c>
      <c r="M103" s="18" t="s">
        <v>69</v>
      </c>
    </row>
    <row r="104" customFormat="false" ht="15" hidden="false" customHeight="false" outlineLevel="0" collapsed="false">
      <c r="A104" s="13" t="s">
        <v>18</v>
      </c>
      <c r="B104" s="13" t="s">
        <v>296</v>
      </c>
      <c r="C104" s="13" t="s">
        <v>297</v>
      </c>
      <c r="D104" s="13" t="s">
        <v>298</v>
      </c>
      <c r="E104" s="14" t="s">
        <v>10</v>
      </c>
      <c r="F104" s="15"/>
      <c r="G104" s="16"/>
      <c r="H104" s="13" t="s">
        <v>67</v>
      </c>
      <c r="I104" s="17" t="n">
        <v>-26.14435</v>
      </c>
      <c r="J104" s="17" t="n">
        <v>28.27017</v>
      </c>
      <c r="K104" s="13" t="n">
        <v>2</v>
      </c>
      <c r="L104" s="13" t="s">
        <v>73</v>
      </c>
      <c r="M104" s="18" t="s">
        <v>69</v>
      </c>
    </row>
    <row r="105" customFormat="false" ht="35.05" hidden="false" customHeight="false" outlineLevel="0" collapsed="false">
      <c r="A105" s="13" t="s">
        <v>18</v>
      </c>
      <c r="B105" s="13" t="s">
        <v>299</v>
      </c>
      <c r="C105" s="13" t="s">
        <v>300</v>
      </c>
      <c r="D105" s="13" t="s">
        <v>301</v>
      </c>
      <c r="E105" s="21" t="s">
        <v>11</v>
      </c>
      <c r="F105" s="15"/>
      <c r="G105" s="16" t="s">
        <v>302</v>
      </c>
      <c r="H105" s="13" t="s">
        <v>303</v>
      </c>
      <c r="I105" s="17"/>
      <c r="J105" s="17"/>
      <c r="K105" s="13"/>
      <c r="L105" s="13"/>
      <c r="M105" s="13"/>
    </row>
    <row r="106" customFormat="false" ht="35.05" hidden="false" customHeight="false" outlineLevel="0" collapsed="false">
      <c r="A106" s="13" t="s">
        <v>18</v>
      </c>
      <c r="B106" s="13" t="s">
        <v>299</v>
      </c>
      <c r="C106" s="13" t="s">
        <v>304</v>
      </c>
      <c r="D106" s="13" t="s">
        <v>305</v>
      </c>
      <c r="E106" s="21" t="s">
        <v>11</v>
      </c>
      <c r="F106" s="15"/>
      <c r="G106" s="16" t="s">
        <v>302</v>
      </c>
      <c r="H106" s="13" t="s">
        <v>303</v>
      </c>
      <c r="I106" s="17"/>
      <c r="J106" s="17"/>
      <c r="K106" s="13"/>
      <c r="L106" s="13"/>
      <c r="M106" s="13"/>
    </row>
    <row r="107" customFormat="false" ht="35.05" hidden="false" customHeight="false" outlineLevel="0" collapsed="false">
      <c r="A107" s="13" t="s">
        <v>18</v>
      </c>
      <c r="B107" s="13" t="s">
        <v>299</v>
      </c>
      <c r="C107" s="13" t="s">
        <v>306</v>
      </c>
      <c r="D107" s="13" t="s">
        <v>307</v>
      </c>
      <c r="E107" s="21" t="s">
        <v>11</v>
      </c>
      <c r="F107" s="15"/>
      <c r="G107" s="16" t="s">
        <v>302</v>
      </c>
      <c r="H107" s="13" t="s">
        <v>303</v>
      </c>
      <c r="I107" s="17"/>
      <c r="J107" s="17"/>
      <c r="K107" s="13"/>
      <c r="L107" s="13"/>
      <c r="M107" s="13"/>
    </row>
    <row r="108" customFormat="false" ht="35.05" hidden="false" customHeight="false" outlineLevel="0" collapsed="false">
      <c r="A108" s="13" t="s">
        <v>18</v>
      </c>
      <c r="B108" s="13" t="s">
        <v>299</v>
      </c>
      <c r="C108" s="13" t="s">
        <v>308</v>
      </c>
      <c r="D108" s="13" t="s">
        <v>309</v>
      </c>
      <c r="E108" s="21" t="s">
        <v>11</v>
      </c>
      <c r="F108" s="15"/>
      <c r="G108" s="16" t="s">
        <v>302</v>
      </c>
      <c r="H108" s="13" t="s">
        <v>303</v>
      </c>
      <c r="I108" s="17"/>
      <c r="J108" s="17"/>
      <c r="K108" s="13"/>
      <c r="L108" s="13"/>
      <c r="M108" s="13"/>
    </row>
    <row r="109" customFormat="false" ht="35.05" hidden="false" customHeight="false" outlineLevel="0" collapsed="false">
      <c r="A109" s="13" t="s">
        <v>18</v>
      </c>
      <c r="B109" s="13" t="s">
        <v>299</v>
      </c>
      <c r="C109" s="13" t="s">
        <v>310</v>
      </c>
      <c r="D109" s="13" t="s">
        <v>311</v>
      </c>
      <c r="E109" s="21" t="s">
        <v>11</v>
      </c>
      <c r="F109" s="15"/>
      <c r="G109" s="16" t="s">
        <v>302</v>
      </c>
      <c r="H109" s="13" t="s">
        <v>303</v>
      </c>
      <c r="I109" s="17"/>
      <c r="J109" s="17"/>
      <c r="K109" s="13"/>
      <c r="L109" s="13"/>
      <c r="M109" s="13"/>
    </row>
    <row r="110" customFormat="false" ht="35.05" hidden="false" customHeight="false" outlineLevel="0" collapsed="false">
      <c r="A110" s="13" t="s">
        <v>18</v>
      </c>
      <c r="B110" s="13" t="s">
        <v>299</v>
      </c>
      <c r="C110" s="13" t="s">
        <v>312</v>
      </c>
      <c r="D110" s="13" t="s">
        <v>313</v>
      </c>
      <c r="E110" s="21" t="s">
        <v>11</v>
      </c>
      <c r="F110" s="15"/>
      <c r="G110" s="16" t="s">
        <v>302</v>
      </c>
      <c r="H110" s="13" t="s">
        <v>303</v>
      </c>
      <c r="I110" s="17"/>
      <c r="J110" s="17"/>
      <c r="K110" s="13"/>
      <c r="L110" s="13"/>
      <c r="M110" s="13"/>
    </row>
    <row r="111" customFormat="false" ht="35.05" hidden="false" customHeight="false" outlineLevel="0" collapsed="false">
      <c r="A111" s="13" t="s">
        <v>18</v>
      </c>
      <c r="B111" s="13" t="s">
        <v>299</v>
      </c>
      <c r="C111" s="13" t="s">
        <v>314</v>
      </c>
      <c r="D111" s="13" t="s">
        <v>315</v>
      </c>
      <c r="E111" s="21" t="s">
        <v>11</v>
      </c>
      <c r="F111" s="15"/>
      <c r="G111" s="16" t="s">
        <v>302</v>
      </c>
      <c r="H111" s="13" t="s">
        <v>303</v>
      </c>
      <c r="I111" s="17"/>
      <c r="J111" s="17"/>
      <c r="K111" s="13"/>
      <c r="L111" s="13"/>
      <c r="M111" s="13"/>
    </row>
    <row r="112" customFormat="false" ht="35.05" hidden="false" customHeight="false" outlineLevel="0" collapsed="false">
      <c r="A112" s="13" t="s">
        <v>18</v>
      </c>
      <c r="B112" s="13" t="s">
        <v>299</v>
      </c>
      <c r="C112" s="13" t="s">
        <v>316</v>
      </c>
      <c r="D112" s="13" t="s">
        <v>317</v>
      </c>
      <c r="E112" s="21" t="s">
        <v>11</v>
      </c>
      <c r="F112" s="15"/>
      <c r="G112" s="16" t="s">
        <v>302</v>
      </c>
      <c r="H112" s="13" t="s">
        <v>303</v>
      </c>
      <c r="I112" s="17"/>
      <c r="J112" s="17"/>
      <c r="K112" s="13"/>
      <c r="L112" s="13"/>
      <c r="M112" s="13"/>
    </row>
    <row r="113" customFormat="false" ht="35.05" hidden="false" customHeight="false" outlineLevel="0" collapsed="false">
      <c r="A113" s="13" t="s">
        <v>18</v>
      </c>
      <c r="B113" s="13" t="s">
        <v>299</v>
      </c>
      <c r="C113" s="13" t="s">
        <v>318</v>
      </c>
      <c r="D113" s="13" t="s">
        <v>319</v>
      </c>
      <c r="E113" s="21" t="s">
        <v>11</v>
      </c>
      <c r="F113" s="15"/>
      <c r="G113" s="16" t="s">
        <v>302</v>
      </c>
      <c r="H113" s="13" t="s">
        <v>303</v>
      </c>
      <c r="I113" s="17"/>
      <c r="J113" s="17"/>
      <c r="K113" s="13"/>
      <c r="L113" s="13"/>
      <c r="M113" s="13"/>
    </row>
    <row r="114" customFormat="false" ht="35.05" hidden="false" customHeight="false" outlineLevel="0" collapsed="false">
      <c r="A114" s="13" t="s">
        <v>18</v>
      </c>
      <c r="B114" s="13" t="s">
        <v>299</v>
      </c>
      <c r="C114" s="13" t="s">
        <v>320</v>
      </c>
      <c r="D114" s="13" t="s">
        <v>321</v>
      </c>
      <c r="E114" s="21" t="s">
        <v>11</v>
      </c>
      <c r="F114" s="15"/>
      <c r="G114" s="16" t="s">
        <v>302</v>
      </c>
      <c r="H114" s="13" t="s">
        <v>303</v>
      </c>
      <c r="I114" s="17"/>
      <c r="J114" s="17"/>
      <c r="K114" s="13"/>
      <c r="L114" s="13"/>
      <c r="M114" s="13"/>
    </row>
    <row r="115" customFormat="false" ht="35.05" hidden="false" customHeight="false" outlineLevel="0" collapsed="false">
      <c r="A115" s="13" t="s">
        <v>18</v>
      </c>
      <c r="B115" s="13" t="s">
        <v>299</v>
      </c>
      <c r="C115" s="13" t="s">
        <v>322</v>
      </c>
      <c r="D115" s="13" t="s">
        <v>323</v>
      </c>
      <c r="E115" s="21" t="s">
        <v>11</v>
      </c>
      <c r="F115" s="15"/>
      <c r="G115" s="16" t="s">
        <v>302</v>
      </c>
      <c r="H115" s="13" t="s">
        <v>303</v>
      </c>
      <c r="I115" s="17"/>
      <c r="J115" s="17"/>
      <c r="K115" s="13"/>
      <c r="L115" s="13"/>
      <c r="M115" s="13"/>
    </row>
    <row r="116" customFormat="false" ht="35.05" hidden="false" customHeight="false" outlineLevel="0" collapsed="false">
      <c r="A116" s="13" t="s">
        <v>18</v>
      </c>
      <c r="B116" s="13" t="s">
        <v>299</v>
      </c>
      <c r="C116" s="13" t="s">
        <v>324</v>
      </c>
      <c r="D116" s="13" t="s">
        <v>325</v>
      </c>
      <c r="E116" s="21" t="s">
        <v>11</v>
      </c>
      <c r="F116" s="15"/>
      <c r="G116" s="16" t="s">
        <v>302</v>
      </c>
      <c r="H116" s="13" t="s">
        <v>303</v>
      </c>
      <c r="I116" s="17"/>
      <c r="J116" s="17"/>
      <c r="K116" s="13"/>
      <c r="L116" s="13"/>
      <c r="M116" s="13"/>
    </row>
    <row r="117" customFormat="false" ht="35.05" hidden="false" customHeight="false" outlineLevel="0" collapsed="false">
      <c r="A117" s="13" t="s">
        <v>18</v>
      </c>
      <c r="B117" s="13" t="s">
        <v>299</v>
      </c>
      <c r="C117" s="13" t="s">
        <v>326</v>
      </c>
      <c r="D117" s="13" t="s">
        <v>327</v>
      </c>
      <c r="E117" s="21" t="s">
        <v>11</v>
      </c>
      <c r="F117" s="15"/>
      <c r="G117" s="16" t="s">
        <v>302</v>
      </c>
      <c r="H117" s="13" t="s">
        <v>303</v>
      </c>
      <c r="I117" s="17"/>
      <c r="J117" s="17"/>
      <c r="K117" s="13"/>
      <c r="L117" s="13"/>
      <c r="M117" s="13"/>
    </row>
    <row r="118" customFormat="false" ht="35.05" hidden="false" customHeight="false" outlineLevel="0" collapsed="false">
      <c r="A118" s="13" t="s">
        <v>18</v>
      </c>
      <c r="B118" s="13" t="s">
        <v>299</v>
      </c>
      <c r="C118" s="13" t="s">
        <v>328</v>
      </c>
      <c r="D118" s="13" t="s">
        <v>329</v>
      </c>
      <c r="E118" s="21" t="s">
        <v>11</v>
      </c>
      <c r="F118" s="15"/>
      <c r="G118" s="16" t="s">
        <v>302</v>
      </c>
      <c r="H118" s="13" t="s">
        <v>303</v>
      </c>
      <c r="I118" s="17"/>
      <c r="J118" s="17"/>
      <c r="K118" s="13"/>
      <c r="L118" s="13"/>
      <c r="M118" s="13"/>
    </row>
    <row r="119" customFormat="false" ht="35.05" hidden="false" customHeight="false" outlineLevel="0" collapsed="false">
      <c r="A119" s="13" t="s">
        <v>18</v>
      </c>
      <c r="B119" s="13" t="s">
        <v>299</v>
      </c>
      <c r="C119" s="13" t="s">
        <v>330</v>
      </c>
      <c r="D119" s="13" t="s">
        <v>331</v>
      </c>
      <c r="E119" s="21" t="s">
        <v>11</v>
      </c>
      <c r="F119" s="15"/>
      <c r="G119" s="16" t="s">
        <v>302</v>
      </c>
      <c r="H119" s="13" t="s">
        <v>303</v>
      </c>
      <c r="I119" s="17"/>
      <c r="J119" s="17"/>
      <c r="K119" s="13"/>
      <c r="L119" s="13"/>
      <c r="M119" s="13"/>
    </row>
    <row r="120" customFormat="false" ht="35.05" hidden="false" customHeight="false" outlineLevel="0" collapsed="false">
      <c r="A120" s="13" t="s">
        <v>18</v>
      </c>
      <c r="B120" s="13" t="s">
        <v>299</v>
      </c>
      <c r="C120" s="13" t="s">
        <v>332</v>
      </c>
      <c r="D120" s="13" t="s">
        <v>333</v>
      </c>
      <c r="E120" s="21" t="s">
        <v>11</v>
      </c>
      <c r="F120" s="15"/>
      <c r="G120" s="16" t="s">
        <v>302</v>
      </c>
      <c r="H120" s="13" t="s">
        <v>303</v>
      </c>
      <c r="I120" s="17"/>
      <c r="J120" s="17"/>
      <c r="K120" s="13"/>
      <c r="L120" s="13"/>
      <c r="M120" s="13"/>
    </row>
    <row r="121" customFormat="false" ht="35.05" hidden="false" customHeight="false" outlineLevel="0" collapsed="false">
      <c r="A121" s="13" t="s">
        <v>18</v>
      </c>
      <c r="B121" s="13" t="s">
        <v>299</v>
      </c>
      <c r="C121" s="13" t="s">
        <v>334</v>
      </c>
      <c r="D121" s="13" t="s">
        <v>335</v>
      </c>
      <c r="E121" s="21" t="s">
        <v>11</v>
      </c>
      <c r="F121" s="15"/>
      <c r="G121" s="16" t="s">
        <v>302</v>
      </c>
      <c r="H121" s="13" t="s">
        <v>303</v>
      </c>
      <c r="I121" s="17"/>
      <c r="J121" s="17"/>
      <c r="K121" s="13"/>
      <c r="L121" s="13"/>
      <c r="M121" s="13"/>
    </row>
    <row r="122" customFormat="false" ht="35.05" hidden="false" customHeight="false" outlineLevel="0" collapsed="false">
      <c r="A122" s="13" t="s">
        <v>18</v>
      </c>
      <c r="B122" s="13" t="s">
        <v>299</v>
      </c>
      <c r="C122" s="13" t="s">
        <v>336</v>
      </c>
      <c r="D122" s="13" t="s">
        <v>337</v>
      </c>
      <c r="E122" s="21" t="s">
        <v>11</v>
      </c>
      <c r="F122" s="15"/>
      <c r="G122" s="16" t="s">
        <v>302</v>
      </c>
      <c r="H122" s="13" t="s">
        <v>303</v>
      </c>
      <c r="I122" s="17"/>
      <c r="J122" s="17"/>
      <c r="K122" s="13"/>
      <c r="L122" s="13"/>
      <c r="M122" s="13"/>
    </row>
    <row r="123" customFormat="false" ht="35.05" hidden="false" customHeight="false" outlineLevel="0" collapsed="false">
      <c r="A123" s="13" t="s">
        <v>18</v>
      </c>
      <c r="B123" s="13" t="s">
        <v>299</v>
      </c>
      <c r="C123" s="13" t="s">
        <v>338</v>
      </c>
      <c r="D123" s="13" t="s">
        <v>339</v>
      </c>
      <c r="E123" s="21" t="s">
        <v>11</v>
      </c>
      <c r="F123" s="15"/>
      <c r="G123" s="16" t="s">
        <v>302</v>
      </c>
      <c r="H123" s="13" t="s">
        <v>303</v>
      </c>
      <c r="I123" s="17"/>
      <c r="J123" s="17"/>
      <c r="K123" s="13"/>
      <c r="L123" s="13"/>
      <c r="M123" s="13"/>
    </row>
    <row r="124" customFormat="false" ht="35.05" hidden="false" customHeight="false" outlineLevel="0" collapsed="false">
      <c r="A124" s="13" t="s">
        <v>18</v>
      </c>
      <c r="B124" s="13" t="s">
        <v>299</v>
      </c>
      <c r="C124" s="13" t="s">
        <v>340</v>
      </c>
      <c r="D124" s="13" t="s">
        <v>341</v>
      </c>
      <c r="E124" s="21" t="s">
        <v>11</v>
      </c>
      <c r="F124" s="15"/>
      <c r="G124" s="16" t="s">
        <v>302</v>
      </c>
      <c r="H124" s="13" t="s">
        <v>303</v>
      </c>
      <c r="I124" s="17"/>
      <c r="J124" s="17"/>
      <c r="K124" s="13"/>
      <c r="L124" s="13"/>
      <c r="M124" s="13"/>
    </row>
    <row r="125" customFormat="false" ht="35.05" hidden="false" customHeight="false" outlineLevel="0" collapsed="false">
      <c r="A125" s="13" t="s">
        <v>18</v>
      </c>
      <c r="B125" s="13" t="s">
        <v>299</v>
      </c>
      <c r="C125" s="13" t="s">
        <v>342</v>
      </c>
      <c r="D125" s="13" t="s">
        <v>343</v>
      </c>
      <c r="E125" s="21" t="s">
        <v>11</v>
      </c>
      <c r="F125" s="15"/>
      <c r="G125" s="16" t="s">
        <v>302</v>
      </c>
      <c r="H125" s="13" t="s">
        <v>303</v>
      </c>
      <c r="I125" s="17"/>
      <c r="J125" s="17"/>
      <c r="K125" s="13"/>
      <c r="L125" s="13"/>
      <c r="M125" s="13"/>
    </row>
    <row r="126" customFormat="false" ht="35.05" hidden="false" customHeight="false" outlineLevel="0" collapsed="false">
      <c r="A126" s="13" t="s">
        <v>18</v>
      </c>
      <c r="B126" s="13" t="s">
        <v>299</v>
      </c>
      <c r="C126" s="13" t="s">
        <v>344</v>
      </c>
      <c r="D126" s="13" t="s">
        <v>345</v>
      </c>
      <c r="E126" s="21" t="s">
        <v>11</v>
      </c>
      <c r="F126" s="15"/>
      <c r="G126" s="16" t="s">
        <v>302</v>
      </c>
      <c r="H126" s="13" t="s">
        <v>303</v>
      </c>
      <c r="I126" s="17"/>
      <c r="J126" s="17"/>
      <c r="K126" s="13"/>
      <c r="L126" s="13"/>
      <c r="M126" s="13"/>
    </row>
    <row r="127" customFormat="false" ht="35.05" hidden="false" customHeight="false" outlineLevel="0" collapsed="false">
      <c r="A127" s="13" t="s">
        <v>18</v>
      </c>
      <c r="B127" s="13" t="s">
        <v>299</v>
      </c>
      <c r="C127" s="13" t="s">
        <v>346</v>
      </c>
      <c r="D127" s="13" t="s">
        <v>347</v>
      </c>
      <c r="E127" s="21" t="s">
        <v>11</v>
      </c>
      <c r="F127" s="15"/>
      <c r="G127" s="16" t="s">
        <v>302</v>
      </c>
      <c r="H127" s="13" t="s">
        <v>303</v>
      </c>
      <c r="I127" s="17"/>
      <c r="J127" s="17"/>
      <c r="K127" s="13"/>
      <c r="L127" s="13"/>
      <c r="M127" s="13"/>
    </row>
    <row r="128" customFormat="false" ht="35.05" hidden="false" customHeight="false" outlineLevel="0" collapsed="false">
      <c r="A128" s="13" t="s">
        <v>18</v>
      </c>
      <c r="B128" s="13" t="s">
        <v>299</v>
      </c>
      <c r="C128" s="13" t="s">
        <v>348</v>
      </c>
      <c r="D128" s="13" t="s">
        <v>349</v>
      </c>
      <c r="E128" s="21" t="s">
        <v>11</v>
      </c>
      <c r="F128" s="15"/>
      <c r="G128" s="16" t="s">
        <v>302</v>
      </c>
      <c r="H128" s="13" t="s">
        <v>303</v>
      </c>
      <c r="I128" s="17"/>
      <c r="J128" s="17"/>
      <c r="K128" s="13"/>
      <c r="L128" s="13"/>
      <c r="M128" s="13"/>
    </row>
    <row r="129" customFormat="false" ht="35.05" hidden="false" customHeight="false" outlineLevel="0" collapsed="false">
      <c r="A129" s="13" t="s">
        <v>18</v>
      </c>
      <c r="B129" s="13" t="s">
        <v>299</v>
      </c>
      <c r="C129" s="13" t="s">
        <v>350</v>
      </c>
      <c r="D129" s="13" t="s">
        <v>351</v>
      </c>
      <c r="E129" s="21" t="s">
        <v>11</v>
      </c>
      <c r="F129" s="15"/>
      <c r="G129" s="16" t="s">
        <v>302</v>
      </c>
      <c r="H129" s="13" t="s">
        <v>303</v>
      </c>
      <c r="I129" s="17"/>
      <c r="J129" s="17"/>
      <c r="K129" s="13"/>
      <c r="L129" s="13"/>
      <c r="M129" s="13"/>
    </row>
    <row r="130" customFormat="false" ht="35.05" hidden="false" customHeight="false" outlineLevel="0" collapsed="false">
      <c r="A130" s="13" t="s">
        <v>18</v>
      </c>
      <c r="B130" s="13" t="s">
        <v>299</v>
      </c>
      <c r="C130" s="13" t="s">
        <v>352</v>
      </c>
      <c r="D130" s="13" t="s">
        <v>353</v>
      </c>
      <c r="E130" s="21" t="s">
        <v>11</v>
      </c>
      <c r="F130" s="15"/>
      <c r="G130" s="16" t="s">
        <v>302</v>
      </c>
      <c r="H130" s="13" t="s">
        <v>303</v>
      </c>
      <c r="I130" s="17"/>
      <c r="J130" s="17"/>
      <c r="K130" s="13"/>
      <c r="L130" s="13"/>
      <c r="M130" s="13"/>
    </row>
    <row r="131" customFormat="false" ht="35.05" hidden="false" customHeight="false" outlineLevel="0" collapsed="false">
      <c r="A131" s="13" t="s">
        <v>18</v>
      </c>
      <c r="B131" s="13" t="s">
        <v>299</v>
      </c>
      <c r="C131" s="13" t="s">
        <v>354</v>
      </c>
      <c r="D131" s="13" t="s">
        <v>355</v>
      </c>
      <c r="E131" s="21" t="s">
        <v>11</v>
      </c>
      <c r="F131" s="15"/>
      <c r="G131" s="16" t="s">
        <v>302</v>
      </c>
      <c r="H131" s="13" t="s">
        <v>303</v>
      </c>
      <c r="I131" s="17"/>
      <c r="J131" s="17"/>
      <c r="K131" s="13"/>
      <c r="L131" s="13"/>
      <c r="M131" s="13"/>
    </row>
    <row r="132" customFormat="false" ht="35.05" hidden="false" customHeight="false" outlineLevel="0" collapsed="false">
      <c r="A132" s="13" t="s">
        <v>18</v>
      </c>
      <c r="B132" s="13" t="s">
        <v>299</v>
      </c>
      <c r="C132" s="13" t="s">
        <v>356</v>
      </c>
      <c r="D132" s="13" t="s">
        <v>357</v>
      </c>
      <c r="E132" s="21" t="s">
        <v>11</v>
      </c>
      <c r="F132" s="15"/>
      <c r="G132" s="16" t="s">
        <v>302</v>
      </c>
      <c r="H132" s="13" t="s">
        <v>303</v>
      </c>
      <c r="I132" s="17"/>
      <c r="J132" s="17"/>
      <c r="K132" s="13"/>
      <c r="L132" s="13"/>
      <c r="M132" s="13"/>
    </row>
    <row r="133" customFormat="false" ht="35.05" hidden="false" customHeight="false" outlineLevel="0" collapsed="false">
      <c r="A133" s="13" t="s">
        <v>18</v>
      </c>
      <c r="B133" s="13" t="s">
        <v>299</v>
      </c>
      <c r="C133" s="13" t="s">
        <v>358</v>
      </c>
      <c r="D133" s="13" t="s">
        <v>359</v>
      </c>
      <c r="E133" s="21" t="s">
        <v>11</v>
      </c>
      <c r="F133" s="15"/>
      <c r="G133" s="16" t="s">
        <v>302</v>
      </c>
      <c r="H133" s="13" t="s">
        <v>303</v>
      </c>
      <c r="I133" s="17"/>
      <c r="J133" s="17"/>
      <c r="K133" s="13"/>
      <c r="L133" s="13"/>
      <c r="M133" s="13"/>
    </row>
    <row r="134" customFormat="false" ht="15" hidden="false" customHeight="false" outlineLevel="0" collapsed="false">
      <c r="A134" s="13" t="s">
        <v>33</v>
      </c>
      <c r="B134" s="13" t="s">
        <v>33</v>
      </c>
      <c r="C134" s="13" t="s">
        <v>360</v>
      </c>
      <c r="D134" s="13" t="s">
        <v>361</v>
      </c>
      <c r="E134" s="19" t="s">
        <v>12</v>
      </c>
      <c r="F134" s="15"/>
      <c r="G134" s="16" t="s">
        <v>362</v>
      </c>
      <c r="H134" s="13" t="s">
        <v>67</v>
      </c>
      <c r="I134" s="17" t="n">
        <v>-25.64389</v>
      </c>
      <c r="J134" s="17" t="n">
        <v>30.32725</v>
      </c>
      <c r="K134" s="13" t="n">
        <v>1</v>
      </c>
      <c r="L134" s="13" t="s">
        <v>68</v>
      </c>
      <c r="M134" s="18" t="s">
        <v>69</v>
      </c>
    </row>
    <row r="135" customFormat="false" ht="15" hidden="false" customHeight="false" outlineLevel="0" collapsed="false">
      <c r="A135" s="13" t="s">
        <v>28</v>
      </c>
      <c r="B135" s="13" t="s">
        <v>28</v>
      </c>
      <c r="C135" s="13" t="s">
        <v>363</v>
      </c>
      <c r="D135" s="13" t="s">
        <v>108</v>
      </c>
      <c r="E135" s="14" t="s">
        <v>10</v>
      </c>
      <c r="F135" s="15"/>
      <c r="G135" s="16" t="s">
        <v>364</v>
      </c>
      <c r="H135" s="13" t="s">
        <v>67</v>
      </c>
      <c r="I135" s="17" t="n">
        <v>-33.99026</v>
      </c>
      <c r="J135" s="17" t="n">
        <v>22.47407</v>
      </c>
      <c r="K135" s="13" t="n">
        <v>41</v>
      </c>
      <c r="L135" s="13" t="s">
        <v>68</v>
      </c>
      <c r="M135" s="18" t="s">
        <v>69</v>
      </c>
    </row>
    <row r="136" customFormat="false" ht="23.85" hidden="false" customHeight="false" outlineLevel="0" collapsed="false">
      <c r="A136" s="13" t="s">
        <v>28</v>
      </c>
      <c r="B136" s="13" t="s">
        <v>28</v>
      </c>
      <c r="C136" s="13" t="s">
        <v>365</v>
      </c>
      <c r="D136" s="13" t="s">
        <v>108</v>
      </c>
      <c r="E136" s="19" t="s">
        <v>12</v>
      </c>
      <c r="F136" s="15"/>
      <c r="G136" s="16" t="s">
        <v>366</v>
      </c>
      <c r="H136" s="13" t="s">
        <v>67</v>
      </c>
      <c r="I136" s="17" t="n">
        <v>-33.97041</v>
      </c>
      <c r="J136" s="17" t="n">
        <v>22.46535</v>
      </c>
      <c r="K136" s="13" t="n">
        <v>4</v>
      </c>
      <c r="L136" s="13" t="s">
        <v>68</v>
      </c>
      <c r="M136" s="18" t="s">
        <v>69</v>
      </c>
    </row>
    <row r="137" customFormat="false" ht="15" hidden="false" customHeight="false" outlineLevel="0" collapsed="false">
      <c r="A137" s="13" t="s">
        <v>28</v>
      </c>
      <c r="B137" s="13" t="s">
        <v>28</v>
      </c>
      <c r="C137" s="13" t="s">
        <v>367</v>
      </c>
      <c r="D137" s="13" t="s">
        <v>368</v>
      </c>
      <c r="E137" s="20" t="s">
        <v>13</v>
      </c>
      <c r="F137" s="15"/>
      <c r="G137" s="16" t="s">
        <v>83</v>
      </c>
      <c r="H137" s="13" t="s">
        <v>67</v>
      </c>
      <c r="I137" s="17" t="n">
        <v>-33.96828</v>
      </c>
      <c r="J137" s="17" t="n">
        <v>22.44777</v>
      </c>
      <c r="K137" s="13" t="n">
        <v>1</v>
      </c>
      <c r="L137" s="13" t="s">
        <v>80</v>
      </c>
      <c r="M137" s="18" t="s">
        <v>69</v>
      </c>
    </row>
    <row r="138" customFormat="false" ht="15" hidden="false" customHeight="false" outlineLevel="0" collapsed="false">
      <c r="A138" s="13" t="s">
        <v>23</v>
      </c>
      <c r="B138" s="13" t="s">
        <v>369</v>
      </c>
      <c r="C138" s="13" t="s">
        <v>370</v>
      </c>
      <c r="D138" s="13" t="s">
        <v>371</v>
      </c>
      <c r="E138" s="14" t="s">
        <v>10</v>
      </c>
      <c r="F138" s="15"/>
      <c r="G138" s="16"/>
      <c r="H138" s="13" t="s">
        <v>67</v>
      </c>
      <c r="I138" s="17" t="n">
        <v>-33.96549</v>
      </c>
      <c r="J138" s="17" t="n">
        <v>25.62028</v>
      </c>
      <c r="K138" s="13" t="n">
        <v>4</v>
      </c>
      <c r="L138" s="13" t="s">
        <v>80</v>
      </c>
      <c r="M138" s="18" t="s">
        <v>69</v>
      </c>
    </row>
    <row r="139" customFormat="false" ht="15" hidden="false" customHeight="false" outlineLevel="0" collapsed="false">
      <c r="A139" s="13" t="s">
        <v>23</v>
      </c>
      <c r="B139" s="13" t="s">
        <v>369</v>
      </c>
      <c r="C139" s="13" t="s">
        <v>372</v>
      </c>
      <c r="D139" s="13" t="s">
        <v>373</v>
      </c>
      <c r="E139" s="14" t="s">
        <v>10</v>
      </c>
      <c r="F139" s="15"/>
      <c r="G139" s="16"/>
      <c r="H139" s="13" t="s">
        <v>67</v>
      </c>
      <c r="I139" s="17" t="n">
        <v>-33.96238</v>
      </c>
      <c r="J139" s="17" t="n">
        <v>25.62293</v>
      </c>
      <c r="K139" s="13" t="n">
        <v>3</v>
      </c>
      <c r="L139" s="13" t="s">
        <v>68</v>
      </c>
      <c r="M139" s="18" t="s">
        <v>69</v>
      </c>
    </row>
    <row r="140" customFormat="false" ht="15" hidden="false" customHeight="false" outlineLevel="0" collapsed="false">
      <c r="A140" s="13" t="s">
        <v>23</v>
      </c>
      <c r="B140" s="13" t="s">
        <v>369</v>
      </c>
      <c r="C140" s="13" t="s">
        <v>374</v>
      </c>
      <c r="D140" s="13" t="s">
        <v>375</v>
      </c>
      <c r="E140" s="14" t="s">
        <v>10</v>
      </c>
      <c r="F140" s="15"/>
      <c r="G140" s="16"/>
      <c r="H140" s="13" t="s">
        <v>67</v>
      </c>
      <c r="I140" s="17" t="n">
        <v>-33.96132</v>
      </c>
      <c r="J140" s="17" t="n">
        <v>25.62123</v>
      </c>
      <c r="K140" s="13" t="n">
        <v>4</v>
      </c>
      <c r="L140" s="13" t="s">
        <v>80</v>
      </c>
      <c r="M140" s="18" t="s">
        <v>69</v>
      </c>
    </row>
    <row r="141" customFormat="false" ht="15" hidden="false" customHeight="false" outlineLevel="0" collapsed="false">
      <c r="A141" s="13" t="s">
        <v>23</v>
      </c>
      <c r="B141" s="13" t="s">
        <v>369</v>
      </c>
      <c r="C141" s="13" t="s">
        <v>376</v>
      </c>
      <c r="D141" s="13" t="s">
        <v>231</v>
      </c>
      <c r="E141" s="20" t="s">
        <v>13</v>
      </c>
      <c r="F141" s="15"/>
      <c r="G141" s="16" t="s">
        <v>83</v>
      </c>
      <c r="H141" s="13" t="s">
        <v>67</v>
      </c>
      <c r="I141" s="17" t="n">
        <v>-33.95761</v>
      </c>
      <c r="J141" s="17" t="n">
        <v>25.57224</v>
      </c>
      <c r="K141" s="13" t="n">
        <v>1</v>
      </c>
      <c r="L141" s="13" t="s">
        <v>80</v>
      </c>
      <c r="M141" s="18" t="s">
        <v>69</v>
      </c>
    </row>
    <row r="142" customFormat="false" ht="15" hidden="false" customHeight="false" outlineLevel="0" collapsed="false">
      <c r="A142" s="13" t="s">
        <v>23</v>
      </c>
      <c r="B142" s="13" t="s">
        <v>369</v>
      </c>
      <c r="C142" s="13" t="s">
        <v>377</v>
      </c>
      <c r="D142" s="13" t="s">
        <v>378</v>
      </c>
      <c r="E142" s="20" t="s">
        <v>13</v>
      </c>
      <c r="F142" s="15"/>
      <c r="G142" s="16" t="s">
        <v>83</v>
      </c>
      <c r="H142" s="13" t="s">
        <v>67</v>
      </c>
      <c r="I142" s="17" t="n">
        <v>-33.94808</v>
      </c>
      <c r="J142" s="17" t="n">
        <v>25.58317</v>
      </c>
      <c r="K142" s="13" t="n">
        <v>1</v>
      </c>
      <c r="L142" s="13" t="s">
        <v>80</v>
      </c>
      <c r="M142" s="18" t="s">
        <v>69</v>
      </c>
    </row>
    <row r="143" customFormat="false" ht="15" hidden="false" customHeight="false" outlineLevel="0" collapsed="false">
      <c r="A143" s="13" t="s">
        <v>23</v>
      </c>
      <c r="B143" s="13" t="s">
        <v>369</v>
      </c>
      <c r="C143" s="13" t="s">
        <v>379</v>
      </c>
      <c r="D143" s="13" t="s">
        <v>380</v>
      </c>
      <c r="E143" s="20" t="s">
        <v>13</v>
      </c>
      <c r="F143" s="15"/>
      <c r="G143" s="16" t="s">
        <v>83</v>
      </c>
      <c r="H143" s="13" t="s">
        <v>67</v>
      </c>
      <c r="I143" s="17" t="n">
        <v>-33.9818</v>
      </c>
      <c r="J143" s="17" t="n">
        <v>25.57938</v>
      </c>
      <c r="K143" s="13" t="n">
        <v>3</v>
      </c>
      <c r="L143" s="13" t="s">
        <v>80</v>
      </c>
      <c r="M143" s="18" t="s">
        <v>69</v>
      </c>
    </row>
    <row r="144" customFormat="false" ht="15" hidden="false" customHeight="false" outlineLevel="0" collapsed="false">
      <c r="A144" s="13" t="s">
        <v>34</v>
      </c>
      <c r="B144" s="13" t="s">
        <v>34</v>
      </c>
      <c r="C144" s="13" t="s">
        <v>381</v>
      </c>
      <c r="D144" s="13" t="s">
        <v>236</v>
      </c>
      <c r="E144" s="19" t="s">
        <v>12</v>
      </c>
      <c r="F144" s="15"/>
      <c r="G144" s="16" t="s">
        <v>382</v>
      </c>
      <c r="H144" s="13" t="s">
        <v>67</v>
      </c>
      <c r="I144" s="17" t="n">
        <v>-29.0573</v>
      </c>
      <c r="J144" s="17" t="n">
        <v>30.59656</v>
      </c>
      <c r="K144" s="13" t="n">
        <v>10</v>
      </c>
      <c r="L144" s="13" t="s">
        <v>80</v>
      </c>
      <c r="M144" s="18" t="s">
        <v>69</v>
      </c>
    </row>
    <row r="145" customFormat="false" ht="15" hidden="false" customHeight="false" outlineLevel="0" collapsed="false">
      <c r="A145" s="13" t="s">
        <v>35</v>
      </c>
      <c r="B145" s="13" t="s">
        <v>35</v>
      </c>
      <c r="C145" s="13" t="s">
        <v>383</v>
      </c>
      <c r="D145" s="13" t="s">
        <v>384</v>
      </c>
      <c r="E145" s="20" t="s">
        <v>13</v>
      </c>
      <c r="F145" s="15"/>
      <c r="G145" s="16" t="s">
        <v>385</v>
      </c>
      <c r="H145" s="13" t="s">
        <v>67</v>
      </c>
      <c r="I145" s="17" t="n">
        <v>-28.27853</v>
      </c>
      <c r="J145" s="17" t="n">
        <v>29.19405</v>
      </c>
      <c r="K145" s="13" t="n">
        <v>1</v>
      </c>
      <c r="L145" s="13" t="s">
        <v>386</v>
      </c>
      <c r="M145" s="18" t="s">
        <v>69</v>
      </c>
    </row>
    <row r="146" customFormat="false" ht="15" hidden="false" customHeight="false" outlineLevel="0" collapsed="false">
      <c r="A146" s="13" t="s">
        <v>36</v>
      </c>
      <c r="B146" s="13" t="s">
        <v>36</v>
      </c>
      <c r="C146" s="13" t="s">
        <v>387</v>
      </c>
      <c r="D146" s="13" t="s">
        <v>388</v>
      </c>
      <c r="E146" s="20" t="s">
        <v>13</v>
      </c>
      <c r="F146" s="15"/>
      <c r="G146" s="16" t="s">
        <v>83</v>
      </c>
      <c r="H146" s="13" t="s">
        <v>67</v>
      </c>
      <c r="I146" s="17" t="n">
        <v>-26.50698</v>
      </c>
      <c r="J146" s="17" t="n">
        <v>28.36684</v>
      </c>
      <c r="K146" s="13" t="n">
        <v>1</v>
      </c>
      <c r="L146" s="13" t="s">
        <v>80</v>
      </c>
      <c r="M146" s="18" t="s">
        <v>69</v>
      </c>
    </row>
    <row r="147" customFormat="false" ht="15" hidden="false" customHeight="false" outlineLevel="0" collapsed="false">
      <c r="A147" s="13" t="s">
        <v>20</v>
      </c>
      <c r="B147" s="13" t="s">
        <v>20</v>
      </c>
      <c r="C147" s="13" t="s">
        <v>389</v>
      </c>
      <c r="D147" s="13" t="s">
        <v>390</v>
      </c>
      <c r="E147" s="14" t="s">
        <v>10</v>
      </c>
      <c r="F147" s="15"/>
      <c r="G147" s="16"/>
      <c r="H147" s="13" t="s">
        <v>67</v>
      </c>
      <c r="I147" s="17" t="n">
        <v>-26.18989</v>
      </c>
      <c r="J147" s="17" t="n">
        <v>27.95768</v>
      </c>
      <c r="K147" s="13" t="n">
        <v>20</v>
      </c>
      <c r="L147" s="13" t="s">
        <v>73</v>
      </c>
      <c r="M147" s="18" t="s">
        <v>69</v>
      </c>
    </row>
    <row r="148" customFormat="false" ht="15" hidden="false" customHeight="false" outlineLevel="0" collapsed="false">
      <c r="A148" s="13" t="s">
        <v>20</v>
      </c>
      <c r="B148" s="13" t="s">
        <v>391</v>
      </c>
      <c r="C148" s="13" t="s">
        <v>392</v>
      </c>
      <c r="D148" s="13" t="s">
        <v>160</v>
      </c>
      <c r="E148" s="14" t="s">
        <v>10</v>
      </c>
      <c r="F148" s="15"/>
      <c r="G148" s="16"/>
      <c r="H148" s="13" t="s">
        <v>67</v>
      </c>
      <c r="I148" s="17" t="n">
        <v>-26.25971</v>
      </c>
      <c r="J148" s="17" t="n">
        <v>27.94134</v>
      </c>
      <c r="K148" s="13" t="n">
        <v>95</v>
      </c>
      <c r="L148" s="13" t="s">
        <v>86</v>
      </c>
      <c r="M148" s="18" t="s">
        <v>69</v>
      </c>
    </row>
    <row r="149" customFormat="false" ht="15" hidden="false" customHeight="false" outlineLevel="0" collapsed="false">
      <c r="A149" s="13" t="s">
        <v>20</v>
      </c>
      <c r="B149" s="13" t="s">
        <v>393</v>
      </c>
      <c r="C149" s="13" t="s">
        <v>394</v>
      </c>
      <c r="D149" s="13" t="s">
        <v>395</v>
      </c>
      <c r="E149" s="14" t="s">
        <v>10</v>
      </c>
      <c r="F149" s="15"/>
      <c r="G149" s="16"/>
      <c r="H149" s="13" t="s">
        <v>67</v>
      </c>
      <c r="I149" s="17" t="n">
        <v>-26.10189</v>
      </c>
      <c r="J149" s="17" t="n">
        <v>28.09359</v>
      </c>
      <c r="K149" s="13" t="n">
        <v>1</v>
      </c>
      <c r="L149" s="13" t="s">
        <v>80</v>
      </c>
      <c r="M149" s="18" t="s">
        <v>69</v>
      </c>
    </row>
    <row r="150" customFormat="false" ht="15" hidden="false" customHeight="false" outlineLevel="0" collapsed="false">
      <c r="A150" s="13" t="s">
        <v>20</v>
      </c>
      <c r="B150" s="13" t="s">
        <v>20</v>
      </c>
      <c r="C150" s="13" t="s">
        <v>396</v>
      </c>
      <c r="D150" s="13" t="s">
        <v>397</v>
      </c>
      <c r="E150" s="14" t="s">
        <v>10</v>
      </c>
      <c r="F150" s="15"/>
      <c r="G150" s="16"/>
      <c r="H150" s="13" t="s">
        <v>67</v>
      </c>
      <c r="I150" s="17" t="n">
        <v>-26.19052</v>
      </c>
      <c r="J150" s="17" t="n">
        <v>28.05803</v>
      </c>
      <c r="K150" s="13" t="n">
        <v>20</v>
      </c>
      <c r="L150" s="13" t="s">
        <v>86</v>
      </c>
      <c r="M150" s="18" t="s">
        <v>69</v>
      </c>
    </row>
    <row r="151" customFormat="false" ht="15" hidden="false" customHeight="false" outlineLevel="0" collapsed="false">
      <c r="A151" s="13" t="s">
        <v>20</v>
      </c>
      <c r="B151" s="13" t="s">
        <v>393</v>
      </c>
      <c r="C151" s="13" t="s">
        <v>398</v>
      </c>
      <c r="D151" s="13" t="s">
        <v>399</v>
      </c>
      <c r="E151" s="14" t="s">
        <v>10</v>
      </c>
      <c r="F151" s="15"/>
      <c r="G151" s="16"/>
      <c r="H151" s="13" t="s">
        <v>67</v>
      </c>
      <c r="I151" s="17" t="n">
        <v>-26.10834</v>
      </c>
      <c r="J151" s="17" t="n">
        <v>28.10848</v>
      </c>
      <c r="K151" s="13" t="n">
        <v>5</v>
      </c>
      <c r="L151" s="13" t="s">
        <v>80</v>
      </c>
      <c r="M151" s="18" t="s">
        <v>69</v>
      </c>
    </row>
    <row r="152" customFormat="false" ht="15" hidden="false" customHeight="false" outlineLevel="0" collapsed="false">
      <c r="A152" s="13" t="s">
        <v>20</v>
      </c>
      <c r="B152" s="13" t="s">
        <v>400</v>
      </c>
      <c r="C152" s="13" t="s">
        <v>401</v>
      </c>
      <c r="D152" s="13" t="s">
        <v>402</v>
      </c>
      <c r="E152" s="14" t="s">
        <v>10</v>
      </c>
      <c r="F152" s="15"/>
      <c r="G152" s="16"/>
      <c r="H152" s="13" t="s">
        <v>67</v>
      </c>
      <c r="I152" s="17" t="n">
        <v>-26.10128</v>
      </c>
      <c r="J152" s="17" t="n">
        <v>27.98692</v>
      </c>
      <c r="K152" s="13" t="n">
        <v>182</v>
      </c>
      <c r="L152" s="13" t="s">
        <v>86</v>
      </c>
      <c r="M152" s="18" t="s">
        <v>69</v>
      </c>
    </row>
    <row r="153" customFormat="false" ht="15" hidden="false" customHeight="false" outlineLevel="0" collapsed="false">
      <c r="A153" s="13" t="s">
        <v>20</v>
      </c>
      <c r="B153" s="13" t="s">
        <v>393</v>
      </c>
      <c r="C153" s="13" t="s">
        <v>403</v>
      </c>
      <c r="D153" s="13" t="s">
        <v>404</v>
      </c>
      <c r="E153" s="14" t="s">
        <v>10</v>
      </c>
      <c r="F153" s="15"/>
      <c r="G153" s="16"/>
      <c r="H153" s="13" t="s">
        <v>67</v>
      </c>
      <c r="I153" s="17" t="n">
        <v>-26.10684</v>
      </c>
      <c r="J153" s="17" t="n">
        <v>28.09551</v>
      </c>
      <c r="K153" s="13" t="n">
        <v>5</v>
      </c>
      <c r="L153" s="13" t="s">
        <v>80</v>
      </c>
      <c r="M153" s="18" t="s">
        <v>69</v>
      </c>
    </row>
    <row r="154" customFormat="false" ht="15" hidden="false" customHeight="false" outlineLevel="0" collapsed="false">
      <c r="A154" s="13" t="s">
        <v>20</v>
      </c>
      <c r="B154" s="13" t="s">
        <v>393</v>
      </c>
      <c r="C154" s="13" t="s">
        <v>405</v>
      </c>
      <c r="D154" s="13" t="s">
        <v>406</v>
      </c>
      <c r="E154" s="14" t="s">
        <v>10</v>
      </c>
      <c r="F154" s="15"/>
      <c r="G154" s="16"/>
      <c r="H154" s="13" t="s">
        <v>67</v>
      </c>
      <c r="I154" s="17" t="n">
        <v>-26.10608</v>
      </c>
      <c r="J154" s="17" t="n">
        <v>28.08877</v>
      </c>
      <c r="K154" s="13" t="n">
        <v>1</v>
      </c>
      <c r="L154" s="13" t="s">
        <v>80</v>
      </c>
      <c r="M154" s="18" t="s">
        <v>69</v>
      </c>
    </row>
    <row r="155" customFormat="false" ht="15" hidden="false" customHeight="false" outlineLevel="0" collapsed="false">
      <c r="A155" s="13" t="s">
        <v>20</v>
      </c>
      <c r="B155" s="13" t="s">
        <v>400</v>
      </c>
      <c r="C155" s="13" t="s">
        <v>407</v>
      </c>
      <c r="D155" s="13" t="s">
        <v>408</v>
      </c>
      <c r="E155" s="14" t="s">
        <v>10</v>
      </c>
      <c r="F155" s="15"/>
      <c r="G155" s="16"/>
      <c r="H155" s="13" t="s">
        <v>67</v>
      </c>
      <c r="I155" s="17" t="n">
        <v>-26.05166</v>
      </c>
      <c r="J155" s="17" t="n">
        <v>28.02127</v>
      </c>
      <c r="K155" s="13" t="n">
        <v>260</v>
      </c>
      <c r="L155" s="13" t="s">
        <v>73</v>
      </c>
      <c r="M155" s="18" t="s">
        <v>69</v>
      </c>
    </row>
    <row r="156" customFormat="false" ht="23.85" hidden="false" customHeight="false" outlineLevel="0" collapsed="false">
      <c r="A156" s="13" t="s">
        <v>20</v>
      </c>
      <c r="B156" s="13" t="s">
        <v>20</v>
      </c>
      <c r="C156" s="13" t="s">
        <v>409</v>
      </c>
      <c r="D156" s="13" t="s">
        <v>410</v>
      </c>
      <c r="E156" s="21" t="s">
        <v>11</v>
      </c>
      <c r="F156" s="15"/>
      <c r="G156" s="16" t="s">
        <v>411</v>
      </c>
      <c r="H156" s="13" t="s">
        <v>303</v>
      </c>
      <c r="I156" s="17"/>
      <c r="J156" s="17"/>
      <c r="K156" s="13"/>
      <c r="L156" s="13"/>
      <c r="M156" s="13"/>
    </row>
    <row r="157" customFormat="false" ht="23.85" hidden="false" customHeight="false" outlineLevel="0" collapsed="false">
      <c r="A157" s="13" t="s">
        <v>20</v>
      </c>
      <c r="B157" s="13" t="s">
        <v>20</v>
      </c>
      <c r="C157" s="13" t="s">
        <v>412</v>
      </c>
      <c r="D157" s="13" t="s">
        <v>413</v>
      </c>
      <c r="E157" s="21" t="s">
        <v>11</v>
      </c>
      <c r="F157" s="15"/>
      <c r="G157" s="16" t="s">
        <v>411</v>
      </c>
      <c r="H157" s="13" t="s">
        <v>303</v>
      </c>
      <c r="I157" s="17"/>
      <c r="J157" s="17"/>
      <c r="K157" s="13"/>
      <c r="L157" s="13"/>
      <c r="M157" s="13"/>
    </row>
    <row r="158" customFormat="false" ht="23.85" hidden="false" customHeight="false" outlineLevel="0" collapsed="false">
      <c r="A158" s="13" t="s">
        <v>20</v>
      </c>
      <c r="B158" s="13" t="s">
        <v>20</v>
      </c>
      <c r="C158" s="13" t="s">
        <v>414</v>
      </c>
      <c r="D158" s="13" t="s">
        <v>415</v>
      </c>
      <c r="E158" s="21" t="s">
        <v>11</v>
      </c>
      <c r="F158" s="15"/>
      <c r="G158" s="16" t="s">
        <v>416</v>
      </c>
      <c r="H158" s="13" t="s">
        <v>303</v>
      </c>
      <c r="I158" s="17"/>
      <c r="J158" s="17"/>
      <c r="K158" s="13"/>
      <c r="L158" s="13"/>
      <c r="M158" s="13"/>
    </row>
    <row r="159" customFormat="false" ht="15" hidden="false" customHeight="false" outlineLevel="0" collapsed="false">
      <c r="A159" s="13" t="s">
        <v>20</v>
      </c>
      <c r="B159" s="13" t="s">
        <v>417</v>
      </c>
      <c r="C159" s="13" t="s">
        <v>418</v>
      </c>
      <c r="D159" s="13" t="s">
        <v>419</v>
      </c>
      <c r="E159" s="21" t="s">
        <v>11</v>
      </c>
      <c r="F159" s="15"/>
      <c r="G159" s="16" t="s">
        <v>420</v>
      </c>
      <c r="H159" s="13" t="s">
        <v>303</v>
      </c>
      <c r="I159" s="17"/>
      <c r="J159" s="17"/>
      <c r="K159" s="13"/>
      <c r="L159" s="13"/>
      <c r="M159" s="13"/>
    </row>
    <row r="160" customFormat="false" ht="23.85" hidden="false" customHeight="false" outlineLevel="0" collapsed="false">
      <c r="A160" s="13" t="s">
        <v>20</v>
      </c>
      <c r="B160" s="13" t="s">
        <v>20</v>
      </c>
      <c r="C160" s="13" t="s">
        <v>421</v>
      </c>
      <c r="D160" s="13" t="s">
        <v>422</v>
      </c>
      <c r="E160" s="21" t="s">
        <v>11</v>
      </c>
      <c r="F160" s="15"/>
      <c r="G160" s="16" t="s">
        <v>411</v>
      </c>
      <c r="H160" s="13" t="s">
        <v>303</v>
      </c>
      <c r="I160" s="17"/>
      <c r="J160" s="17"/>
      <c r="K160" s="13"/>
      <c r="L160" s="13"/>
      <c r="M160" s="13"/>
    </row>
    <row r="161" customFormat="false" ht="23.85" hidden="false" customHeight="false" outlineLevel="0" collapsed="false">
      <c r="A161" s="13" t="s">
        <v>20</v>
      </c>
      <c r="B161" s="13" t="s">
        <v>20</v>
      </c>
      <c r="C161" s="13" t="s">
        <v>423</v>
      </c>
      <c r="D161" s="13" t="s">
        <v>424</v>
      </c>
      <c r="E161" s="21" t="s">
        <v>11</v>
      </c>
      <c r="F161" s="15"/>
      <c r="G161" s="16" t="s">
        <v>411</v>
      </c>
      <c r="H161" s="13" t="s">
        <v>303</v>
      </c>
      <c r="I161" s="17"/>
      <c r="J161" s="17"/>
      <c r="K161" s="13"/>
      <c r="L161" s="13"/>
      <c r="M161" s="13"/>
    </row>
    <row r="162" customFormat="false" ht="15" hidden="false" customHeight="false" outlineLevel="0" collapsed="false">
      <c r="A162" s="13" t="s">
        <v>20</v>
      </c>
      <c r="B162" s="13" t="s">
        <v>393</v>
      </c>
      <c r="C162" s="13" t="s">
        <v>398</v>
      </c>
      <c r="D162" s="13" t="s">
        <v>425</v>
      </c>
      <c r="E162" s="20" t="s">
        <v>13</v>
      </c>
      <c r="F162" s="15"/>
      <c r="G162" s="16" t="s">
        <v>79</v>
      </c>
      <c r="H162" s="13" t="s">
        <v>67</v>
      </c>
      <c r="I162" s="17" t="n">
        <v>-26.11259</v>
      </c>
      <c r="J162" s="17" t="n">
        <v>28.09596</v>
      </c>
      <c r="K162" s="13" t="n">
        <v>1</v>
      </c>
      <c r="L162" s="13" t="s">
        <v>80</v>
      </c>
      <c r="M162" s="18" t="s">
        <v>69</v>
      </c>
    </row>
    <row r="163" customFormat="false" ht="15" hidden="false" customHeight="false" outlineLevel="0" collapsed="false">
      <c r="A163" s="13" t="s">
        <v>20</v>
      </c>
      <c r="B163" s="13" t="s">
        <v>393</v>
      </c>
      <c r="C163" s="13" t="s">
        <v>426</v>
      </c>
      <c r="D163" s="13" t="s">
        <v>427</v>
      </c>
      <c r="E163" s="20" t="s">
        <v>13</v>
      </c>
      <c r="F163" s="15"/>
      <c r="G163" s="16" t="s">
        <v>83</v>
      </c>
      <c r="H163" s="13" t="s">
        <v>67</v>
      </c>
      <c r="I163" s="17" t="n">
        <v>-26.1096</v>
      </c>
      <c r="J163" s="17" t="n">
        <v>28.05698</v>
      </c>
      <c r="K163" s="13" t="n">
        <v>4</v>
      </c>
      <c r="L163" s="13" t="s">
        <v>68</v>
      </c>
      <c r="M163" s="18" t="s">
        <v>69</v>
      </c>
    </row>
    <row r="164" customFormat="false" ht="15" hidden="false" customHeight="false" outlineLevel="0" collapsed="false">
      <c r="A164" s="13" t="s">
        <v>20</v>
      </c>
      <c r="B164" s="13" t="s">
        <v>20</v>
      </c>
      <c r="C164" s="13" t="s">
        <v>428</v>
      </c>
      <c r="D164" s="13" t="s">
        <v>429</v>
      </c>
      <c r="E164" s="20" t="s">
        <v>13</v>
      </c>
      <c r="F164" s="15"/>
      <c r="G164" s="16" t="s">
        <v>289</v>
      </c>
      <c r="H164" s="13" t="s">
        <v>67</v>
      </c>
      <c r="I164" s="17" t="n">
        <v>-26.23231</v>
      </c>
      <c r="J164" s="17" t="n">
        <v>28.07428</v>
      </c>
      <c r="K164" s="13" t="n">
        <v>2</v>
      </c>
      <c r="L164" s="13" t="s">
        <v>123</v>
      </c>
      <c r="M164" s="18" t="s">
        <v>69</v>
      </c>
    </row>
    <row r="165" customFormat="false" ht="15" hidden="false" customHeight="false" outlineLevel="0" collapsed="false">
      <c r="A165" s="13" t="s">
        <v>20</v>
      </c>
      <c r="B165" s="13" t="s">
        <v>391</v>
      </c>
      <c r="C165" s="13" t="s">
        <v>392</v>
      </c>
      <c r="D165" s="13" t="s">
        <v>430</v>
      </c>
      <c r="E165" s="20" t="s">
        <v>13</v>
      </c>
      <c r="F165" s="15"/>
      <c r="G165" s="16" t="s">
        <v>431</v>
      </c>
      <c r="H165" s="13" t="s">
        <v>67</v>
      </c>
      <c r="I165" s="17" t="n">
        <v>-26.25758</v>
      </c>
      <c r="J165" s="17" t="n">
        <v>27.89434</v>
      </c>
      <c r="K165" s="13" t="n">
        <v>1</v>
      </c>
      <c r="L165" s="13" t="s">
        <v>432</v>
      </c>
      <c r="M165" s="18" t="s">
        <v>69</v>
      </c>
    </row>
    <row r="166" customFormat="false" ht="15" hidden="false" customHeight="false" outlineLevel="0" collapsed="false">
      <c r="A166" s="13" t="s">
        <v>20</v>
      </c>
      <c r="B166" s="13" t="s">
        <v>433</v>
      </c>
      <c r="C166" s="13" t="s">
        <v>434</v>
      </c>
      <c r="D166" s="13" t="s">
        <v>435</v>
      </c>
      <c r="E166" s="20" t="s">
        <v>13</v>
      </c>
      <c r="F166" s="15"/>
      <c r="G166" s="16" t="s">
        <v>436</v>
      </c>
      <c r="H166" s="13" t="s">
        <v>67</v>
      </c>
      <c r="I166" s="17" t="n">
        <v>-26.03312</v>
      </c>
      <c r="J166" s="17" t="n">
        <v>28.07513</v>
      </c>
      <c r="K166" s="13" t="n">
        <v>31</v>
      </c>
      <c r="L166" s="13" t="s">
        <v>86</v>
      </c>
      <c r="M166" s="18" t="s">
        <v>69</v>
      </c>
    </row>
    <row r="167" customFormat="false" ht="15" hidden="false" customHeight="false" outlineLevel="0" collapsed="false">
      <c r="A167" s="13" t="s">
        <v>37</v>
      </c>
      <c r="B167" s="13" t="s">
        <v>37</v>
      </c>
      <c r="C167" s="13" t="s">
        <v>437</v>
      </c>
      <c r="D167" s="13" t="s">
        <v>438</v>
      </c>
      <c r="E167" s="20" t="s">
        <v>13</v>
      </c>
      <c r="F167" s="15"/>
      <c r="G167" s="16" t="s">
        <v>83</v>
      </c>
      <c r="H167" s="13" t="s">
        <v>67</v>
      </c>
      <c r="I167" s="17" t="n">
        <v>-34.03721</v>
      </c>
      <c r="J167" s="17" t="n">
        <v>23.06484</v>
      </c>
      <c r="K167" s="13" t="n">
        <v>1</v>
      </c>
      <c r="L167" s="13" t="s">
        <v>80</v>
      </c>
      <c r="M167" s="18" t="s">
        <v>69</v>
      </c>
    </row>
    <row r="168" customFormat="false" ht="15" hidden="false" customHeight="false" outlineLevel="0" collapsed="false">
      <c r="A168" s="13" t="s">
        <v>25</v>
      </c>
      <c r="B168" s="13" t="s">
        <v>25</v>
      </c>
      <c r="C168" s="13" t="s">
        <v>439</v>
      </c>
      <c r="D168" s="13" t="s">
        <v>440</v>
      </c>
      <c r="E168" s="14" t="s">
        <v>10</v>
      </c>
      <c r="F168" s="15"/>
      <c r="G168" s="16"/>
      <c r="H168" s="13" t="s">
        <v>67</v>
      </c>
      <c r="I168" s="17" t="n">
        <v>-29.34054</v>
      </c>
      <c r="J168" s="17" t="n">
        <v>31.29056</v>
      </c>
      <c r="K168" s="13" t="n">
        <v>2</v>
      </c>
      <c r="L168" s="13" t="s">
        <v>441</v>
      </c>
      <c r="M168" s="18" t="s">
        <v>69</v>
      </c>
    </row>
    <row r="169" customFormat="false" ht="15" hidden="false" customHeight="false" outlineLevel="0" collapsed="false">
      <c r="A169" s="13" t="s">
        <v>25</v>
      </c>
      <c r="B169" s="13" t="s">
        <v>25</v>
      </c>
      <c r="C169" s="13" t="s">
        <v>442</v>
      </c>
      <c r="D169" s="13" t="s">
        <v>443</v>
      </c>
      <c r="E169" s="14" t="s">
        <v>10</v>
      </c>
      <c r="F169" s="15"/>
      <c r="G169" s="16"/>
      <c r="H169" s="13" t="s">
        <v>67</v>
      </c>
      <c r="I169" s="17" t="n">
        <v>-29.33884</v>
      </c>
      <c r="J169" s="17" t="n">
        <v>31.29515</v>
      </c>
      <c r="K169" s="13" t="n">
        <v>4</v>
      </c>
      <c r="L169" s="13" t="s">
        <v>80</v>
      </c>
      <c r="M169" s="18" t="s">
        <v>69</v>
      </c>
    </row>
    <row r="170" customFormat="false" ht="15" hidden="false" customHeight="false" outlineLevel="0" collapsed="false">
      <c r="A170" s="13" t="s">
        <v>29</v>
      </c>
      <c r="B170" s="13" t="s">
        <v>29</v>
      </c>
      <c r="C170" s="13" t="s">
        <v>444</v>
      </c>
      <c r="D170" s="13" t="s">
        <v>445</v>
      </c>
      <c r="E170" s="14" t="s">
        <v>10</v>
      </c>
      <c r="F170" s="15"/>
      <c r="G170" s="16"/>
      <c r="H170" s="13" t="s">
        <v>67</v>
      </c>
      <c r="I170" s="17" t="n">
        <v>-25.76974</v>
      </c>
      <c r="J170" s="17" t="n">
        <v>29.46311</v>
      </c>
      <c r="K170" s="13" t="n">
        <v>23</v>
      </c>
      <c r="L170" s="13" t="s">
        <v>77</v>
      </c>
      <c r="M170" s="18" t="s">
        <v>69</v>
      </c>
    </row>
    <row r="171" customFormat="false" ht="15" hidden="false" customHeight="false" outlineLevel="0" collapsed="false">
      <c r="A171" s="13" t="s">
        <v>38</v>
      </c>
      <c r="B171" s="13" t="s">
        <v>38</v>
      </c>
      <c r="C171" s="13" t="s">
        <v>446</v>
      </c>
      <c r="D171" s="13" t="s">
        <v>447</v>
      </c>
      <c r="E171" s="19" t="s">
        <v>12</v>
      </c>
      <c r="F171" s="15"/>
      <c r="G171" s="16" t="s">
        <v>448</v>
      </c>
      <c r="H171" s="13" t="s">
        <v>67</v>
      </c>
      <c r="I171" s="17" t="n">
        <v>-25.84064</v>
      </c>
      <c r="J171" s="17" t="n">
        <v>25.64423</v>
      </c>
      <c r="K171" s="13" t="n">
        <v>1</v>
      </c>
      <c r="L171" s="13" t="s">
        <v>80</v>
      </c>
      <c r="M171" s="18" t="s">
        <v>69</v>
      </c>
    </row>
    <row r="172" customFormat="false" ht="15" hidden="false" customHeight="false" outlineLevel="0" collapsed="false">
      <c r="A172" s="13" t="s">
        <v>24</v>
      </c>
      <c r="B172" s="13" t="s">
        <v>24</v>
      </c>
      <c r="C172" s="13" t="s">
        <v>449</v>
      </c>
      <c r="D172" s="13" t="s">
        <v>450</v>
      </c>
      <c r="E172" s="14" t="s">
        <v>10</v>
      </c>
      <c r="F172" s="15"/>
      <c r="G172" s="16"/>
      <c r="H172" s="13" t="s">
        <v>67</v>
      </c>
      <c r="I172" s="17" t="n">
        <v>-24.69384</v>
      </c>
      <c r="J172" s="17" t="n">
        <v>28.41496</v>
      </c>
      <c r="K172" s="13" t="n">
        <v>1</v>
      </c>
      <c r="L172" s="13" t="s">
        <v>441</v>
      </c>
      <c r="M172" s="18" t="s">
        <v>69</v>
      </c>
    </row>
    <row r="173" customFormat="false" ht="15" hidden="false" customHeight="false" outlineLevel="0" collapsed="false">
      <c r="A173" s="13" t="s">
        <v>24</v>
      </c>
      <c r="B173" s="13" t="s">
        <v>24</v>
      </c>
      <c r="C173" s="13" t="s">
        <v>65</v>
      </c>
      <c r="D173" s="13" t="s">
        <v>440</v>
      </c>
      <c r="E173" s="14" t="s">
        <v>10</v>
      </c>
      <c r="F173" s="15"/>
      <c r="G173" s="16" t="s">
        <v>451</v>
      </c>
      <c r="H173" s="13" t="s">
        <v>67</v>
      </c>
      <c r="I173" s="17" t="n">
        <v>-24.69947</v>
      </c>
      <c r="J173" s="17" t="n">
        <v>28.39507</v>
      </c>
      <c r="K173" s="13" t="n">
        <v>10</v>
      </c>
      <c r="L173" s="13" t="s">
        <v>441</v>
      </c>
      <c r="M173" s="18" t="s">
        <v>69</v>
      </c>
    </row>
    <row r="174" customFormat="false" ht="15" hidden="false" customHeight="false" outlineLevel="0" collapsed="false">
      <c r="A174" s="13" t="s">
        <v>24</v>
      </c>
      <c r="B174" s="13" t="s">
        <v>24</v>
      </c>
      <c r="C174" s="13" t="s">
        <v>194</v>
      </c>
      <c r="D174" s="13" t="s">
        <v>452</v>
      </c>
      <c r="E174" s="14" t="s">
        <v>10</v>
      </c>
      <c r="F174" s="15"/>
      <c r="G174" s="16"/>
      <c r="H174" s="13" t="s">
        <v>67</v>
      </c>
      <c r="I174" s="17" t="n">
        <v>-24.70269</v>
      </c>
      <c r="J174" s="17" t="n">
        <v>28.40683</v>
      </c>
      <c r="K174" s="13" t="n">
        <v>1</v>
      </c>
      <c r="L174" s="13" t="s">
        <v>80</v>
      </c>
      <c r="M174" s="18" t="s">
        <v>69</v>
      </c>
    </row>
    <row r="175" customFormat="false" ht="15" hidden="false" customHeight="false" outlineLevel="0" collapsed="false">
      <c r="A175" s="13" t="s">
        <v>30</v>
      </c>
      <c r="B175" s="13" t="s">
        <v>30</v>
      </c>
      <c r="C175" s="13" t="s">
        <v>453</v>
      </c>
      <c r="D175" s="13" t="s">
        <v>454</v>
      </c>
      <c r="E175" s="14" t="s">
        <v>10</v>
      </c>
      <c r="F175" s="15"/>
      <c r="G175" s="16"/>
      <c r="H175" s="13" t="s">
        <v>67</v>
      </c>
      <c r="I175" s="17" t="n">
        <v>-32.16831</v>
      </c>
      <c r="J175" s="17" t="n">
        <v>25.61689</v>
      </c>
      <c r="K175" s="13" t="n">
        <v>3</v>
      </c>
      <c r="L175" s="13" t="s">
        <v>77</v>
      </c>
      <c r="M175" s="18" t="s">
        <v>69</v>
      </c>
    </row>
    <row r="176" customFormat="false" ht="15" hidden="false" customHeight="false" outlineLevel="0" collapsed="false">
      <c r="A176" s="13" t="s">
        <v>19</v>
      </c>
      <c r="B176" s="13" t="s">
        <v>455</v>
      </c>
      <c r="C176" s="13" t="s">
        <v>456</v>
      </c>
      <c r="D176" s="13" t="s">
        <v>457</v>
      </c>
      <c r="E176" s="14" t="s">
        <v>10</v>
      </c>
      <c r="F176" s="15"/>
      <c r="G176" s="16"/>
      <c r="H176" s="13" t="s">
        <v>67</v>
      </c>
      <c r="I176" s="17" t="n">
        <v>-29.65485</v>
      </c>
      <c r="J176" s="17" t="n">
        <v>30.37752</v>
      </c>
      <c r="K176" s="13" t="n">
        <v>46</v>
      </c>
      <c r="L176" s="13" t="s">
        <v>86</v>
      </c>
      <c r="M176" s="18" t="s">
        <v>69</v>
      </c>
    </row>
    <row r="177" customFormat="false" ht="15" hidden="false" customHeight="false" outlineLevel="0" collapsed="false">
      <c r="A177" s="13" t="s">
        <v>19</v>
      </c>
      <c r="B177" s="13" t="s">
        <v>455</v>
      </c>
      <c r="C177" s="13" t="s">
        <v>458</v>
      </c>
      <c r="D177" s="13" t="s">
        <v>459</v>
      </c>
      <c r="E177" s="14" t="s">
        <v>10</v>
      </c>
      <c r="F177" s="15"/>
      <c r="G177" s="16"/>
      <c r="H177" s="13" t="s">
        <v>67</v>
      </c>
      <c r="I177" s="17" t="n">
        <v>-29.57979</v>
      </c>
      <c r="J177" s="17" t="n">
        <v>30.40115</v>
      </c>
      <c r="K177" s="13" t="n">
        <v>50</v>
      </c>
      <c r="L177" s="13" t="s">
        <v>73</v>
      </c>
      <c r="M177" s="18" t="s">
        <v>69</v>
      </c>
    </row>
    <row r="178" customFormat="false" ht="15" hidden="false" customHeight="false" outlineLevel="0" collapsed="false">
      <c r="A178" s="13" t="s">
        <v>19</v>
      </c>
      <c r="B178" s="13" t="s">
        <v>455</v>
      </c>
      <c r="C178" s="13" t="s">
        <v>170</v>
      </c>
      <c r="D178" s="13" t="s">
        <v>460</v>
      </c>
      <c r="E178" s="14" t="s">
        <v>10</v>
      </c>
      <c r="F178" s="15"/>
      <c r="G178" s="16"/>
      <c r="H178" s="13" t="s">
        <v>67</v>
      </c>
      <c r="I178" s="17" t="n">
        <v>-29.60526</v>
      </c>
      <c r="J178" s="17" t="n">
        <v>30.38306</v>
      </c>
      <c r="K178" s="13" t="n">
        <v>52</v>
      </c>
      <c r="L178" s="13" t="s">
        <v>73</v>
      </c>
      <c r="M178" s="18" t="s">
        <v>69</v>
      </c>
    </row>
    <row r="179" customFormat="false" ht="15" hidden="false" customHeight="false" outlineLevel="0" collapsed="false">
      <c r="A179" s="13" t="s">
        <v>19</v>
      </c>
      <c r="B179" s="13" t="s">
        <v>455</v>
      </c>
      <c r="C179" s="13" t="s">
        <v>461</v>
      </c>
      <c r="D179" s="13" t="s">
        <v>462</v>
      </c>
      <c r="E179" s="14" t="s">
        <v>10</v>
      </c>
      <c r="F179" s="15"/>
      <c r="G179" s="16"/>
      <c r="H179" s="13" t="s">
        <v>67</v>
      </c>
      <c r="I179" s="17" t="n">
        <v>-29.57937</v>
      </c>
      <c r="J179" s="17" t="n">
        <v>30.42583</v>
      </c>
      <c r="K179" s="13" t="n">
        <v>31</v>
      </c>
      <c r="L179" s="13" t="s">
        <v>86</v>
      </c>
      <c r="M179" s="18" t="s">
        <v>69</v>
      </c>
    </row>
    <row r="180" customFormat="false" ht="15" hidden="false" customHeight="false" outlineLevel="0" collapsed="false">
      <c r="A180" s="13" t="s">
        <v>19</v>
      </c>
      <c r="B180" s="13" t="s">
        <v>455</v>
      </c>
      <c r="C180" s="13" t="s">
        <v>463</v>
      </c>
      <c r="D180" s="13" t="s">
        <v>464</v>
      </c>
      <c r="E180" s="14" t="s">
        <v>10</v>
      </c>
      <c r="F180" s="15"/>
      <c r="G180" s="16"/>
      <c r="H180" s="13" t="s">
        <v>67</v>
      </c>
      <c r="I180" s="17" t="n">
        <v>-29.58513</v>
      </c>
      <c r="J180" s="17" t="n">
        <v>30.39806</v>
      </c>
      <c r="K180" s="13" t="n">
        <v>65</v>
      </c>
      <c r="L180" s="13" t="s">
        <v>73</v>
      </c>
      <c r="M180" s="18" t="s">
        <v>69</v>
      </c>
    </row>
    <row r="181" customFormat="false" ht="15" hidden="false" customHeight="false" outlineLevel="0" collapsed="false">
      <c r="A181" s="13" t="s">
        <v>19</v>
      </c>
      <c r="B181" s="13" t="s">
        <v>455</v>
      </c>
      <c r="C181" s="13" t="s">
        <v>465</v>
      </c>
      <c r="D181" s="13" t="s">
        <v>186</v>
      </c>
      <c r="E181" s="14" t="s">
        <v>10</v>
      </c>
      <c r="F181" s="15"/>
      <c r="G181" s="16"/>
      <c r="H181" s="13" t="s">
        <v>67</v>
      </c>
      <c r="I181" s="17" t="n">
        <v>-29.65664</v>
      </c>
      <c r="J181" s="17" t="n">
        <v>30.38357</v>
      </c>
      <c r="K181" s="13" t="n">
        <v>34</v>
      </c>
      <c r="L181" s="13" t="s">
        <v>86</v>
      </c>
      <c r="M181" s="18" t="s">
        <v>69</v>
      </c>
    </row>
    <row r="182" customFormat="false" ht="15" hidden="false" customHeight="false" outlineLevel="0" collapsed="false">
      <c r="A182" s="13" t="s">
        <v>19</v>
      </c>
      <c r="B182" s="13" t="s">
        <v>455</v>
      </c>
      <c r="C182" s="13" t="s">
        <v>466</v>
      </c>
      <c r="D182" s="13" t="s">
        <v>467</v>
      </c>
      <c r="E182" s="14" t="s">
        <v>10</v>
      </c>
      <c r="F182" s="15"/>
      <c r="G182" s="16"/>
      <c r="H182" s="13" t="s">
        <v>67</v>
      </c>
      <c r="I182" s="17" t="n">
        <v>-29.58958</v>
      </c>
      <c r="J182" s="17" t="n">
        <v>30.4312</v>
      </c>
      <c r="K182" s="13" t="n">
        <v>10</v>
      </c>
      <c r="L182" s="13" t="s">
        <v>68</v>
      </c>
      <c r="M182" s="18" t="s">
        <v>69</v>
      </c>
    </row>
    <row r="183" customFormat="false" ht="15" hidden="false" customHeight="false" outlineLevel="0" collapsed="false">
      <c r="A183" s="13" t="s">
        <v>19</v>
      </c>
      <c r="B183" s="13" t="s">
        <v>455</v>
      </c>
      <c r="C183" s="13" t="s">
        <v>449</v>
      </c>
      <c r="D183" s="13" t="s">
        <v>468</v>
      </c>
      <c r="E183" s="14" t="s">
        <v>10</v>
      </c>
      <c r="F183" s="15"/>
      <c r="G183" s="16"/>
      <c r="H183" s="13" t="s">
        <v>67</v>
      </c>
      <c r="I183" s="17" t="n">
        <v>-29.59792</v>
      </c>
      <c r="J183" s="17" t="n">
        <v>30.3783</v>
      </c>
      <c r="K183" s="13" t="n">
        <v>14</v>
      </c>
      <c r="L183" s="13" t="s">
        <v>68</v>
      </c>
      <c r="M183" s="18" t="s">
        <v>69</v>
      </c>
    </row>
    <row r="184" customFormat="false" ht="15" hidden="false" customHeight="false" outlineLevel="0" collapsed="false">
      <c r="A184" s="13" t="s">
        <v>19</v>
      </c>
      <c r="B184" s="13" t="s">
        <v>455</v>
      </c>
      <c r="C184" s="13" t="s">
        <v>469</v>
      </c>
      <c r="D184" s="13" t="s">
        <v>470</v>
      </c>
      <c r="E184" s="14" t="s">
        <v>10</v>
      </c>
      <c r="F184" s="15"/>
      <c r="G184" s="16"/>
      <c r="H184" s="13" t="s">
        <v>67</v>
      </c>
      <c r="I184" s="17" t="n">
        <v>-29.6053</v>
      </c>
      <c r="J184" s="17" t="n">
        <v>30.37967</v>
      </c>
      <c r="K184" s="13" t="n">
        <v>21</v>
      </c>
      <c r="L184" s="13" t="s">
        <v>68</v>
      </c>
      <c r="M184" s="18" t="s">
        <v>69</v>
      </c>
    </row>
    <row r="185" customFormat="false" ht="15" hidden="false" customHeight="false" outlineLevel="0" collapsed="false">
      <c r="A185" s="13" t="s">
        <v>19</v>
      </c>
      <c r="B185" s="13" t="s">
        <v>455</v>
      </c>
      <c r="C185" s="13" t="s">
        <v>471</v>
      </c>
      <c r="D185" s="13" t="s">
        <v>472</v>
      </c>
      <c r="E185" s="14" t="s">
        <v>10</v>
      </c>
      <c r="F185" s="15"/>
      <c r="G185" s="16"/>
      <c r="H185" s="13" t="s">
        <v>67</v>
      </c>
      <c r="I185" s="17" t="n">
        <v>-29.60438</v>
      </c>
      <c r="J185" s="17" t="n">
        <v>30.37818</v>
      </c>
      <c r="K185" s="13" t="n">
        <v>17</v>
      </c>
      <c r="L185" s="13" t="s">
        <v>68</v>
      </c>
      <c r="M185" s="18" t="s">
        <v>69</v>
      </c>
    </row>
    <row r="186" customFormat="false" ht="15" hidden="false" customHeight="false" outlineLevel="0" collapsed="false">
      <c r="A186" s="13" t="s">
        <v>19</v>
      </c>
      <c r="B186" s="13" t="s">
        <v>455</v>
      </c>
      <c r="C186" s="13" t="s">
        <v>473</v>
      </c>
      <c r="D186" s="13" t="s">
        <v>474</v>
      </c>
      <c r="E186" s="14" t="s">
        <v>10</v>
      </c>
      <c r="F186" s="15"/>
      <c r="G186" s="16"/>
      <c r="H186" s="13" t="s">
        <v>67</v>
      </c>
      <c r="I186" s="17" t="n">
        <v>-29.59282</v>
      </c>
      <c r="J186" s="17" t="n">
        <v>30.39191</v>
      </c>
      <c r="K186" s="13" t="n">
        <v>17</v>
      </c>
      <c r="L186" s="13" t="s">
        <v>86</v>
      </c>
      <c r="M186" s="18" t="s">
        <v>69</v>
      </c>
    </row>
    <row r="187" customFormat="false" ht="15" hidden="false" customHeight="false" outlineLevel="0" collapsed="false">
      <c r="A187" s="13" t="s">
        <v>19</v>
      </c>
      <c r="B187" s="13" t="s">
        <v>455</v>
      </c>
      <c r="C187" s="13" t="s">
        <v>475</v>
      </c>
      <c r="D187" s="13" t="s">
        <v>476</v>
      </c>
      <c r="E187" s="14" t="s">
        <v>10</v>
      </c>
      <c r="F187" s="15"/>
      <c r="G187" s="16"/>
      <c r="H187" s="13" t="s">
        <v>67</v>
      </c>
      <c r="I187" s="17" t="n">
        <v>-29.60671</v>
      </c>
      <c r="J187" s="17" t="n">
        <v>30.32919</v>
      </c>
      <c r="K187" s="13" t="n">
        <v>14</v>
      </c>
      <c r="L187" s="13" t="s">
        <v>68</v>
      </c>
      <c r="M187" s="18" t="s">
        <v>69</v>
      </c>
    </row>
    <row r="188" customFormat="false" ht="15" hidden="false" customHeight="false" outlineLevel="0" collapsed="false">
      <c r="A188" s="13" t="s">
        <v>19</v>
      </c>
      <c r="B188" s="13" t="s">
        <v>455</v>
      </c>
      <c r="C188" s="13" t="s">
        <v>477</v>
      </c>
      <c r="D188" s="13" t="s">
        <v>478</v>
      </c>
      <c r="E188" s="14" t="s">
        <v>10</v>
      </c>
      <c r="F188" s="15"/>
      <c r="G188" s="16"/>
      <c r="H188" s="13" t="s">
        <v>67</v>
      </c>
      <c r="I188" s="17" t="n">
        <v>-29.61939</v>
      </c>
      <c r="J188" s="17" t="n">
        <v>30.36695</v>
      </c>
      <c r="K188" s="13" t="n">
        <v>21</v>
      </c>
      <c r="L188" s="13" t="s">
        <v>86</v>
      </c>
      <c r="M188" s="18" t="s">
        <v>69</v>
      </c>
    </row>
    <row r="189" customFormat="false" ht="15" hidden="false" customHeight="false" outlineLevel="0" collapsed="false">
      <c r="A189" s="13" t="s">
        <v>19</v>
      </c>
      <c r="B189" s="13" t="s">
        <v>455</v>
      </c>
      <c r="C189" s="13" t="s">
        <v>479</v>
      </c>
      <c r="D189" s="13" t="s">
        <v>480</v>
      </c>
      <c r="E189" s="14" t="s">
        <v>10</v>
      </c>
      <c r="F189" s="15"/>
      <c r="G189" s="16"/>
      <c r="H189" s="13" t="s">
        <v>67</v>
      </c>
      <c r="I189" s="17" t="n">
        <v>-29.58569</v>
      </c>
      <c r="J189" s="17" t="n">
        <v>30.34961</v>
      </c>
      <c r="K189" s="13" t="n">
        <v>11</v>
      </c>
      <c r="L189" s="13" t="s">
        <v>68</v>
      </c>
      <c r="M189" s="18" t="s">
        <v>69</v>
      </c>
    </row>
    <row r="190" customFormat="false" ht="15" hidden="false" customHeight="false" outlineLevel="0" collapsed="false">
      <c r="A190" s="13" t="s">
        <v>19</v>
      </c>
      <c r="B190" s="13" t="s">
        <v>455</v>
      </c>
      <c r="C190" s="13" t="s">
        <v>374</v>
      </c>
      <c r="D190" s="13" t="s">
        <v>481</v>
      </c>
      <c r="E190" s="14" t="s">
        <v>10</v>
      </c>
      <c r="F190" s="15"/>
      <c r="G190" s="16"/>
      <c r="H190" s="13" t="s">
        <v>67</v>
      </c>
      <c r="I190" s="17" t="n">
        <v>-29.59769</v>
      </c>
      <c r="J190" s="17" t="n">
        <v>30.3674</v>
      </c>
      <c r="K190" s="13" t="n">
        <v>26</v>
      </c>
      <c r="L190" s="13" t="s">
        <v>68</v>
      </c>
      <c r="M190" s="18" t="s">
        <v>69</v>
      </c>
    </row>
    <row r="191" customFormat="false" ht="15" hidden="false" customHeight="false" outlineLevel="0" collapsed="false">
      <c r="A191" s="13" t="s">
        <v>19</v>
      </c>
      <c r="B191" s="13" t="s">
        <v>455</v>
      </c>
      <c r="C191" s="13" t="s">
        <v>482</v>
      </c>
      <c r="D191" s="13" t="s">
        <v>483</v>
      </c>
      <c r="E191" s="14" t="s">
        <v>10</v>
      </c>
      <c r="F191" s="15"/>
      <c r="G191" s="16"/>
      <c r="H191" s="13" t="s">
        <v>67</v>
      </c>
      <c r="I191" s="17" t="n">
        <v>-29.63587</v>
      </c>
      <c r="J191" s="17" t="n">
        <v>30.38329</v>
      </c>
      <c r="K191" s="13" t="n">
        <v>34</v>
      </c>
      <c r="L191" s="13" t="s">
        <v>73</v>
      </c>
      <c r="M191" s="18" t="s">
        <v>69</v>
      </c>
    </row>
    <row r="192" customFormat="false" ht="15" hidden="false" customHeight="false" outlineLevel="0" collapsed="false">
      <c r="A192" s="13" t="s">
        <v>19</v>
      </c>
      <c r="B192" s="13" t="s">
        <v>455</v>
      </c>
      <c r="C192" s="13" t="s">
        <v>477</v>
      </c>
      <c r="D192" s="13" t="s">
        <v>484</v>
      </c>
      <c r="E192" s="14" t="s">
        <v>10</v>
      </c>
      <c r="F192" s="15"/>
      <c r="G192" s="16"/>
      <c r="H192" s="13" t="s">
        <v>67</v>
      </c>
      <c r="I192" s="17" t="n">
        <v>-29.64816</v>
      </c>
      <c r="J192" s="17" t="n">
        <v>30.31889</v>
      </c>
      <c r="K192" s="13" t="n">
        <v>23</v>
      </c>
      <c r="L192" s="13" t="s">
        <v>86</v>
      </c>
      <c r="M192" s="18" t="s">
        <v>69</v>
      </c>
    </row>
    <row r="193" customFormat="false" ht="15" hidden="false" customHeight="false" outlineLevel="0" collapsed="false">
      <c r="A193" s="13" t="s">
        <v>19</v>
      </c>
      <c r="B193" s="13" t="s">
        <v>455</v>
      </c>
      <c r="C193" s="13" t="s">
        <v>485</v>
      </c>
      <c r="D193" s="13" t="s">
        <v>486</v>
      </c>
      <c r="E193" s="14" t="s">
        <v>10</v>
      </c>
      <c r="F193" s="15"/>
      <c r="G193" s="16"/>
      <c r="H193" s="13" t="s">
        <v>67</v>
      </c>
      <c r="I193" s="17" t="n">
        <v>-29.64677</v>
      </c>
      <c r="J193" s="17" t="n">
        <v>30.36678</v>
      </c>
      <c r="K193" s="13" t="n">
        <v>8</v>
      </c>
      <c r="L193" s="13" t="s">
        <v>80</v>
      </c>
      <c r="M193" s="18" t="s">
        <v>69</v>
      </c>
    </row>
    <row r="194" customFormat="false" ht="15" hidden="false" customHeight="false" outlineLevel="0" collapsed="false">
      <c r="A194" s="13" t="s">
        <v>19</v>
      </c>
      <c r="B194" s="13" t="s">
        <v>455</v>
      </c>
      <c r="C194" s="13" t="s">
        <v>487</v>
      </c>
      <c r="D194" s="13" t="s">
        <v>488</v>
      </c>
      <c r="E194" s="19" t="s">
        <v>12</v>
      </c>
      <c r="F194" s="15"/>
      <c r="G194" s="16" t="s">
        <v>489</v>
      </c>
      <c r="H194" s="13" t="s">
        <v>67</v>
      </c>
      <c r="I194" s="17" t="n">
        <v>-29.61364</v>
      </c>
      <c r="J194" s="17" t="n">
        <v>30.39163</v>
      </c>
      <c r="K194" s="13" t="n">
        <v>30</v>
      </c>
      <c r="L194" s="13" t="s">
        <v>73</v>
      </c>
      <c r="M194" s="18" t="s">
        <v>69</v>
      </c>
    </row>
    <row r="195" customFormat="false" ht="15" hidden="false" customHeight="false" outlineLevel="0" collapsed="false">
      <c r="A195" s="13" t="s">
        <v>19</v>
      </c>
      <c r="B195" s="13" t="s">
        <v>455</v>
      </c>
      <c r="C195" s="13" t="s">
        <v>482</v>
      </c>
      <c r="D195" s="13" t="s">
        <v>490</v>
      </c>
      <c r="E195" s="20" t="s">
        <v>13</v>
      </c>
      <c r="F195" s="15"/>
      <c r="G195" s="16" t="s">
        <v>79</v>
      </c>
      <c r="H195" s="13" t="s">
        <v>67</v>
      </c>
      <c r="I195" s="17" t="n">
        <v>-29.6336</v>
      </c>
      <c r="J195" s="17" t="n">
        <v>30.38385</v>
      </c>
      <c r="K195" s="13" t="n">
        <v>18</v>
      </c>
      <c r="L195" s="13" t="s">
        <v>73</v>
      </c>
      <c r="M195" s="18" t="s">
        <v>69</v>
      </c>
    </row>
    <row r="196" customFormat="false" ht="15" hidden="false" customHeight="false" outlineLevel="0" collapsed="false">
      <c r="A196" s="13" t="s">
        <v>19</v>
      </c>
      <c r="B196" s="13" t="s">
        <v>455</v>
      </c>
      <c r="C196" s="13" t="s">
        <v>485</v>
      </c>
      <c r="D196" s="13" t="s">
        <v>491</v>
      </c>
      <c r="E196" s="20" t="s">
        <v>13</v>
      </c>
      <c r="F196" s="15"/>
      <c r="G196" s="16" t="s">
        <v>79</v>
      </c>
      <c r="H196" s="13" t="s">
        <v>67</v>
      </c>
      <c r="I196" s="17" t="n">
        <v>-29.6346</v>
      </c>
      <c r="J196" s="17" t="n">
        <v>30.37306</v>
      </c>
      <c r="K196" s="13" t="n">
        <v>3</v>
      </c>
      <c r="L196" s="13" t="s">
        <v>123</v>
      </c>
      <c r="M196" s="18" t="s">
        <v>69</v>
      </c>
    </row>
    <row r="197" customFormat="false" ht="15" hidden="false" customHeight="false" outlineLevel="0" collapsed="false">
      <c r="A197" s="13" t="s">
        <v>19</v>
      </c>
      <c r="B197" s="13" t="s">
        <v>455</v>
      </c>
      <c r="C197" s="13" t="s">
        <v>477</v>
      </c>
      <c r="D197" s="13" t="s">
        <v>492</v>
      </c>
      <c r="E197" s="20" t="s">
        <v>13</v>
      </c>
      <c r="F197" s="15"/>
      <c r="G197" s="16" t="s">
        <v>79</v>
      </c>
      <c r="H197" s="13" t="s">
        <v>67</v>
      </c>
      <c r="I197" s="17" t="n">
        <v>-29.60856</v>
      </c>
      <c r="J197" s="17" t="n">
        <v>30.36827</v>
      </c>
      <c r="K197" s="13" t="n">
        <v>2</v>
      </c>
      <c r="L197" s="13" t="s">
        <v>86</v>
      </c>
      <c r="M197" s="18" t="s">
        <v>69</v>
      </c>
    </row>
    <row r="198" customFormat="false" ht="15" hidden="false" customHeight="false" outlineLevel="0" collapsed="false">
      <c r="A198" s="13" t="s">
        <v>22</v>
      </c>
      <c r="B198" s="13" t="s">
        <v>22</v>
      </c>
      <c r="C198" s="13" t="s">
        <v>493</v>
      </c>
      <c r="D198" s="13" t="s">
        <v>494</v>
      </c>
      <c r="E198" s="14" t="s">
        <v>10</v>
      </c>
      <c r="F198" s="15"/>
      <c r="G198" s="16" t="s">
        <v>495</v>
      </c>
      <c r="H198" s="13" t="s">
        <v>67</v>
      </c>
      <c r="I198" s="17" t="n">
        <v>-26.70066</v>
      </c>
      <c r="J198" s="17" t="n">
        <v>27.10147</v>
      </c>
      <c r="K198" s="13" t="n">
        <v>9</v>
      </c>
      <c r="L198" s="13" t="s">
        <v>73</v>
      </c>
      <c r="M198" s="18" t="s">
        <v>69</v>
      </c>
    </row>
    <row r="199" customFormat="false" ht="15" hidden="false" customHeight="false" outlineLevel="0" collapsed="false">
      <c r="A199" s="13" t="s">
        <v>22</v>
      </c>
      <c r="B199" s="13" t="s">
        <v>22</v>
      </c>
      <c r="C199" s="13" t="s">
        <v>496</v>
      </c>
      <c r="D199" s="13" t="s">
        <v>497</v>
      </c>
      <c r="E199" s="14" t="s">
        <v>10</v>
      </c>
      <c r="F199" s="15"/>
      <c r="G199" s="16" t="s">
        <v>498</v>
      </c>
      <c r="H199" s="13" t="s">
        <v>67</v>
      </c>
      <c r="I199" s="17" t="n">
        <v>-26.70698</v>
      </c>
      <c r="J199" s="17" t="n">
        <v>27.09152</v>
      </c>
      <c r="K199" s="13" t="n">
        <v>10</v>
      </c>
      <c r="L199" s="13" t="s">
        <v>80</v>
      </c>
      <c r="M199" s="18" t="s">
        <v>69</v>
      </c>
    </row>
    <row r="200" customFormat="false" ht="15" hidden="false" customHeight="false" outlineLevel="0" collapsed="false">
      <c r="A200" s="13" t="s">
        <v>22</v>
      </c>
      <c r="B200" s="13" t="s">
        <v>22</v>
      </c>
      <c r="C200" s="13" t="s">
        <v>499</v>
      </c>
      <c r="D200" s="13" t="s">
        <v>500</v>
      </c>
      <c r="E200" s="14" t="s">
        <v>10</v>
      </c>
      <c r="F200" s="15"/>
      <c r="G200" s="16"/>
      <c r="H200" s="13" t="s">
        <v>67</v>
      </c>
      <c r="I200" s="17" t="n">
        <v>-26.72769</v>
      </c>
      <c r="J200" s="17" t="n">
        <v>27.09314</v>
      </c>
      <c r="K200" s="13" t="n">
        <v>6</v>
      </c>
      <c r="L200" s="13" t="s">
        <v>68</v>
      </c>
      <c r="M200" s="18" t="s">
        <v>69</v>
      </c>
    </row>
    <row r="201" customFormat="false" ht="15" hidden="false" customHeight="false" outlineLevel="0" collapsed="false">
      <c r="A201" s="13" t="s">
        <v>22</v>
      </c>
      <c r="B201" s="13" t="s">
        <v>22</v>
      </c>
      <c r="C201" s="13" t="s">
        <v>501</v>
      </c>
      <c r="D201" s="13" t="s">
        <v>502</v>
      </c>
      <c r="E201" s="14" t="s">
        <v>10</v>
      </c>
      <c r="F201" s="15"/>
      <c r="G201" s="16"/>
      <c r="H201" s="13" t="s">
        <v>67</v>
      </c>
      <c r="I201" s="17" t="n">
        <v>-26.6943</v>
      </c>
      <c r="J201" s="17" t="n">
        <v>27.11429</v>
      </c>
      <c r="K201" s="13" t="n">
        <v>34</v>
      </c>
      <c r="L201" s="13" t="s">
        <v>68</v>
      </c>
      <c r="M201" s="18" t="s">
        <v>69</v>
      </c>
    </row>
    <row r="202" customFormat="false" ht="15" hidden="false" customHeight="false" outlineLevel="0" collapsed="false">
      <c r="A202" s="13" t="s">
        <v>22</v>
      </c>
      <c r="B202" s="13" t="s">
        <v>22</v>
      </c>
      <c r="C202" s="13" t="s">
        <v>503</v>
      </c>
      <c r="D202" s="13" t="s">
        <v>504</v>
      </c>
      <c r="E202" s="14" t="s">
        <v>10</v>
      </c>
      <c r="F202" s="15"/>
      <c r="G202" s="16"/>
      <c r="H202" s="13" t="s">
        <v>67</v>
      </c>
      <c r="I202" s="17" t="n">
        <v>-26.71091</v>
      </c>
      <c r="J202" s="17" t="n">
        <v>27.09731</v>
      </c>
      <c r="K202" s="13" t="n">
        <v>2</v>
      </c>
      <c r="L202" s="13" t="s">
        <v>68</v>
      </c>
      <c r="M202" s="18" t="s">
        <v>69</v>
      </c>
    </row>
    <row r="203" customFormat="false" ht="15" hidden="false" customHeight="false" outlineLevel="0" collapsed="false">
      <c r="A203" s="13" t="s">
        <v>22</v>
      </c>
      <c r="B203" s="13" t="s">
        <v>22</v>
      </c>
      <c r="C203" s="13" t="s">
        <v>505</v>
      </c>
      <c r="D203" s="13" t="s">
        <v>506</v>
      </c>
      <c r="E203" s="14" t="s">
        <v>10</v>
      </c>
      <c r="F203" s="15"/>
      <c r="G203" s="16"/>
      <c r="H203" s="13" t="s">
        <v>67</v>
      </c>
      <c r="I203" s="17" t="n">
        <v>-26.71212</v>
      </c>
      <c r="J203" s="17" t="n">
        <v>27.09532</v>
      </c>
      <c r="K203" s="13" t="n">
        <v>4</v>
      </c>
      <c r="L203" s="13" t="s">
        <v>80</v>
      </c>
      <c r="M203" s="18" t="s">
        <v>69</v>
      </c>
    </row>
    <row r="204" customFormat="false" ht="15" hidden="false" customHeight="false" outlineLevel="0" collapsed="false">
      <c r="A204" s="13" t="s">
        <v>22</v>
      </c>
      <c r="B204" s="13" t="s">
        <v>22</v>
      </c>
      <c r="C204" s="13" t="s">
        <v>507</v>
      </c>
      <c r="D204" s="13" t="s">
        <v>508</v>
      </c>
      <c r="E204" s="14" t="s">
        <v>10</v>
      </c>
      <c r="F204" s="15"/>
      <c r="G204" s="16" t="s">
        <v>509</v>
      </c>
      <c r="H204" s="13" t="s">
        <v>67</v>
      </c>
      <c r="I204" s="17" t="n">
        <v>-26.72106</v>
      </c>
      <c r="J204" s="17" t="n">
        <v>27.09248</v>
      </c>
      <c r="K204" s="13" t="n">
        <v>6</v>
      </c>
      <c r="L204" s="13" t="s">
        <v>80</v>
      </c>
      <c r="M204" s="18" t="s">
        <v>69</v>
      </c>
    </row>
    <row r="205" customFormat="false" ht="15" hidden="false" customHeight="false" outlineLevel="0" collapsed="false">
      <c r="A205" s="13" t="s">
        <v>22</v>
      </c>
      <c r="B205" s="13" t="s">
        <v>22</v>
      </c>
      <c r="C205" s="13" t="s">
        <v>510</v>
      </c>
      <c r="D205" s="13" t="s">
        <v>511</v>
      </c>
      <c r="E205" s="14" t="s">
        <v>10</v>
      </c>
      <c r="F205" s="15"/>
      <c r="G205" s="16"/>
      <c r="H205" s="13" t="s">
        <v>67</v>
      </c>
      <c r="I205" s="17" t="n">
        <v>-26.72468</v>
      </c>
      <c r="J205" s="17" t="n">
        <v>27.09821</v>
      </c>
      <c r="K205" s="13" t="n">
        <v>1</v>
      </c>
      <c r="L205" s="13" t="s">
        <v>80</v>
      </c>
      <c r="M205" s="18" t="s">
        <v>69</v>
      </c>
    </row>
    <row r="206" customFormat="false" ht="15" hidden="false" customHeight="false" outlineLevel="0" collapsed="false">
      <c r="A206" s="13" t="s">
        <v>22</v>
      </c>
      <c r="B206" s="13" t="s">
        <v>22</v>
      </c>
      <c r="C206" s="13" t="s">
        <v>512</v>
      </c>
      <c r="D206" s="13" t="s">
        <v>513</v>
      </c>
      <c r="E206" s="14" t="s">
        <v>10</v>
      </c>
      <c r="F206" s="15"/>
      <c r="G206" s="16" t="s">
        <v>514</v>
      </c>
      <c r="H206" s="13" t="s">
        <v>67</v>
      </c>
      <c r="I206" s="17" t="n">
        <v>-26.69243</v>
      </c>
      <c r="J206" s="17" t="n">
        <v>27.09479</v>
      </c>
      <c r="K206" s="13" t="n">
        <v>2</v>
      </c>
      <c r="L206" s="13" t="s">
        <v>80</v>
      </c>
      <c r="M206" s="18" t="s">
        <v>69</v>
      </c>
    </row>
    <row r="207" customFormat="false" ht="15" hidden="false" customHeight="false" outlineLevel="0" collapsed="false">
      <c r="A207" s="13" t="s">
        <v>22</v>
      </c>
      <c r="B207" s="13" t="s">
        <v>22</v>
      </c>
      <c r="C207" s="13" t="s">
        <v>515</v>
      </c>
      <c r="D207" s="13" t="s">
        <v>516</v>
      </c>
      <c r="E207" s="14" t="s">
        <v>10</v>
      </c>
      <c r="F207" s="15"/>
      <c r="G207" s="16" t="s">
        <v>517</v>
      </c>
      <c r="H207" s="13" t="s">
        <v>67</v>
      </c>
      <c r="I207" s="17" t="n">
        <v>-26.69277</v>
      </c>
      <c r="J207" s="17" t="n">
        <v>27.09887</v>
      </c>
      <c r="K207" s="13" t="n">
        <v>2</v>
      </c>
      <c r="L207" s="13" t="s">
        <v>86</v>
      </c>
      <c r="M207" s="18" t="s">
        <v>69</v>
      </c>
    </row>
    <row r="208" customFormat="false" ht="15" hidden="false" customHeight="false" outlineLevel="0" collapsed="false">
      <c r="A208" s="13" t="s">
        <v>22</v>
      </c>
      <c r="B208" s="13" t="s">
        <v>22</v>
      </c>
      <c r="C208" s="13" t="s">
        <v>518</v>
      </c>
      <c r="D208" s="13" t="s">
        <v>118</v>
      </c>
      <c r="E208" s="14" t="s">
        <v>10</v>
      </c>
      <c r="F208" s="15"/>
      <c r="G208" s="16" t="s">
        <v>519</v>
      </c>
      <c r="H208" s="13" t="s">
        <v>67</v>
      </c>
      <c r="I208" s="17" t="n">
        <v>-26.72265</v>
      </c>
      <c r="J208" s="17" t="n">
        <v>27.09635</v>
      </c>
      <c r="K208" s="13" t="n">
        <v>16</v>
      </c>
      <c r="L208" s="13" t="s">
        <v>80</v>
      </c>
      <c r="M208" s="18" t="s">
        <v>69</v>
      </c>
    </row>
    <row r="209" customFormat="false" ht="15" hidden="false" customHeight="false" outlineLevel="0" collapsed="false">
      <c r="A209" s="13" t="s">
        <v>22</v>
      </c>
      <c r="B209" s="13" t="s">
        <v>22</v>
      </c>
      <c r="C209" s="13" t="s">
        <v>520</v>
      </c>
      <c r="D209" s="13" t="s">
        <v>521</v>
      </c>
      <c r="E209" s="19" t="s">
        <v>12</v>
      </c>
      <c r="F209" s="15"/>
      <c r="G209" s="16" t="s">
        <v>522</v>
      </c>
      <c r="H209" s="13" t="s">
        <v>67</v>
      </c>
      <c r="I209" s="17" t="n">
        <v>-26.7161</v>
      </c>
      <c r="J209" s="17" t="n">
        <v>27.07675</v>
      </c>
      <c r="K209" s="13" t="n">
        <v>3</v>
      </c>
      <c r="L209" s="13" t="s">
        <v>68</v>
      </c>
      <c r="M209" s="18" t="s">
        <v>69</v>
      </c>
    </row>
    <row r="210" customFormat="false" ht="15" hidden="false" customHeight="false" outlineLevel="0" collapsed="false">
      <c r="A210" s="13" t="s">
        <v>22</v>
      </c>
      <c r="B210" s="13" t="s">
        <v>22</v>
      </c>
      <c r="C210" s="13" t="s">
        <v>523</v>
      </c>
      <c r="D210" s="13" t="s">
        <v>524</v>
      </c>
      <c r="E210" s="19" t="s">
        <v>12</v>
      </c>
      <c r="F210" s="15"/>
      <c r="G210" s="16" t="s">
        <v>522</v>
      </c>
      <c r="H210" s="13" t="s">
        <v>67</v>
      </c>
      <c r="I210" s="17" t="n">
        <v>-26.70364</v>
      </c>
      <c r="J210" s="17" t="n">
        <v>27.0857</v>
      </c>
      <c r="K210" s="13" t="n">
        <v>5</v>
      </c>
      <c r="L210" s="13" t="s">
        <v>68</v>
      </c>
      <c r="M210" s="18" t="s">
        <v>69</v>
      </c>
    </row>
    <row r="211" customFormat="false" ht="15" hidden="false" customHeight="false" outlineLevel="0" collapsed="false">
      <c r="A211" s="13" t="s">
        <v>22</v>
      </c>
      <c r="B211" s="13" t="s">
        <v>22</v>
      </c>
      <c r="C211" s="13" t="s">
        <v>525</v>
      </c>
      <c r="D211" s="13" t="s">
        <v>526</v>
      </c>
      <c r="E211" s="19" t="s">
        <v>12</v>
      </c>
      <c r="F211" s="15"/>
      <c r="G211" s="16" t="s">
        <v>527</v>
      </c>
      <c r="H211" s="13" t="s">
        <v>67</v>
      </c>
      <c r="I211" s="17" t="n">
        <v>-26.71162</v>
      </c>
      <c r="J211" s="17" t="n">
        <v>27.06176</v>
      </c>
      <c r="K211" s="13" t="n">
        <v>1</v>
      </c>
      <c r="L211" s="13" t="s">
        <v>68</v>
      </c>
      <c r="M211" s="18" t="s">
        <v>69</v>
      </c>
    </row>
    <row r="212" customFormat="false" ht="15" hidden="false" customHeight="false" outlineLevel="0" collapsed="false">
      <c r="A212" s="13" t="s">
        <v>17</v>
      </c>
      <c r="B212" s="13" t="s">
        <v>528</v>
      </c>
      <c r="C212" s="13" t="s">
        <v>529</v>
      </c>
      <c r="D212" s="13" t="s">
        <v>155</v>
      </c>
      <c r="E212" s="14" t="s">
        <v>10</v>
      </c>
      <c r="F212" s="15"/>
      <c r="G212" s="16"/>
      <c r="H212" s="13" t="s">
        <v>67</v>
      </c>
      <c r="I212" s="17" t="n">
        <v>-25.75477</v>
      </c>
      <c r="J212" s="17" t="n">
        <v>28.1597</v>
      </c>
      <c r="K212" s="13" t="n">
        <v>30</v>
      </c>
      <c r="L212" s="13" t="s">
        <v>73</v>
      </c>
      <c r="M212" s="18" t="s">
        <v>69</v>
      </c>
    </row>
    <row r="213" customFormat="false" ht="15" hidden="false" customHeight="false" outlineLevel="0" collapsed="false">
      <c r="A213" s="13" t="s">
        <v>17</v>
      </c>
      <c r="B213" s="13" t="s">
        <v>530</v>
      </c>
      <c r="C213" s="13" t="s">
        <v>65</v>
      </c>
      <c r="D213" s="13" t="s">
        <v>531</v>
      </c>
      <c r="E213" s="14" t="s">
        <v>10</v>
      </c>
      <c r="F213" s="15"/>
      <c r="G213" s="16"/>
      <c r="H213" s="13" t="s">
        <v>67</v>
      </c>
      <c r="I213" s="17" t="n">
        <v>-25.78244</v>
      </c>
      <c r="J213" s="17" t="n">
        <v>27.96048</v>
      </c>
      <c r="K213" s="13" t="n">
        <v>3</v>
      </c>
      <c r="L213" s="13" t="s">
        <v>86</v>
      </c>
      <c r="M213" s="18" t="s">
        <v>69</v>
      </c>
    </row>
    <row r="214" customFormat="false" ht="15" hidden="false" customHeight="false" outlineLevel="0" collapsed="false">
      <c r="A214" s="13" t="s">
        <v>17</v>
      </c>
      <c r="B214" s="13" t="s">
        <v>528</v>
      </c>
      <c r="C214" s="13" t="s">
        <v>532</v>
      </c>
      <c r="D214" s="13" t="s">
        <v>533</v>
      </c>
      <c r="E214" s="14" t="s">
        <v>10</v>
      </c>
      <c r="F214" s="15"/>
      <c r="G214" s="16" t="s">
        <v>534</v>
      </c>
      <c r="H214" s="13" t="s">
        <v>67</v>
      </c>
      <c r="I214" s="17" t="n">
        <v>-25.69929</v>
      </c>
      <c r="J214" s="17" t="n">
        <v>28.17717</v>
      </c>
      <c r="K214" s="13" t="n">
        <v>47</v>
      </c>
      <c r="L214" s="13" t="s">
        <v>73</v>
      </c>
      <c r="M214" s="18" t="s">
        <v>69</v>
      </c>
    </row>
    <row r="215" customFormat="false" ht="15" hidden="false" customHeight="false" outlineLevel="0" collapsed="false">
      <c r="A215" s="13" t="s">
        <v>17</v>
      </c>
      <c r="B215" s="13" t="s">
        <v>528</v>
      </c>
      <c r="C215" s="13" t="s">
        <v>535</v>
      </c>
      <c r="D215" s="13" t="s">
        <v>536</v>
      </c>
      <c r="E215" s="14" t="s">
        <v>10</v>
      </c>
      <c r="F215" s="15"/>
      <c r="G215" s="16"/>
      <c r="H215" s="13" t="s">
        <v>67</v>
      </c>
      <c r="I215" s="17" t="n">
        <v>-25.78081</v>
      </c>
      <c r="J215" s="17" t="n">
        <v>28.22758</v>
      </c>
      <c r="K215" s="13" t="n">
        <v>52</v>
      </c>
      <c r="L215" s="13" t="s">
        <v>86</v>
      </c>
      <c r="M215" s="18" t="s">
        <v>69</v>
      </c>
    </row>
    <row r="216" customFormat="false" ht="15" hidden="false" customHeight="false" outlineLevel="0" collapsed="false">
      <c r="A216" s="13" t="s">
        <v>17</v>
      </c>
      <c r="B216" s="13" t="s">
        <v>528</v>
      </c>
      <c r="C216" s="13" t="s">
        <v>537</v>
      </c>
      <c r="D216" s="13" t="s">
        <v>538</v>
      </c>
      <c r="E216" s="14" t="s">
        <v>10</v>
      </c>
      <c r="F216" s="15"/>
      <c r="G216" s="16"/>
      <c r="H216" s="13" t="s">
        <v>67</v>
      </c>
      <c r="I216" s="17" t="n">
        <v>-25.74939</v>
      </c>
      <c r="J216" s="17" t="n">
        <v>28.18832</v>
      </c>
      <c r="K216" s="13" t="n">
        <v>37</v>
      </c>
      <c r="L216" s="13" t="s">
        <v>68</v>
      </c>
      <c r="M216" s="18" t="s">
        <v>69</v>
      </c>
    </row>
    <row r="217" customFormat="false" ht="15" hidden="false" customHeight="false" outlineLevel="0" collapsed="false">
      <c r="A217" s="13" t="s">
        <v>17</v>
      </c>
      <c r="B217" s="13" t="s">
        <v>528</v>
      </c>
      <c r="C217" s="13" t="s">
        <v>65</v>
      </c>
      <c r="D217" s="13" t="s">
        <v>410</v>
      </c>
      <c r="E217" s="14" t="s">
        <v>10</v>
      </c>
      <c r="F217" s="15"/>
      <c r="G217" s="16"/>
      <c r="H217" s="13" t="s">
        <v>67</v>
      </c>
      <c r="I217" s="17" t="n">
        <v>-25.74609</v>
      </c>
      <c r="J217" s="17" t="n">
        <v>28.19356</v>
      </c>
      <c r="K217" s="13" t="n">
        <v>9</v>
      </c>
      <c r="L217" s="13" t="s">
        <v>539</v>
      </c>
      <c r="M217" s="18" t="s">
        <v>69</v>
      </c>
    </row>
    <row r="218" customFormat="false" ht="15" hidden="false" customHeight="false" outlineLevel="0" collapsed="false">
      <c r="A218" s="13" t="s">
        <v>17</v>
      </c>
      <c r="B218" s="13" t="s">
        <v>528</v>
      </c>
      <c r="C218" s="13" t="s">
        <v>540</v>
      </c>
      <c r="D218" s="13" t="s">
        <v>541</v>
      </c>
      <c r="E218" s="14" t="s">
        <v>10</v>
      </c>
      <c r="F218" s="15"/>
      <c r="G218" s="16"/>
      <c r="H218" s="13" t="s">
        <v>67</v>
      </c>
      <c r="I218" s="17" t="n">
        <v>-25.7697</v>
      </c>
      <c r="J218" s="17" t="n">
        <v>28.23524</v>
      </c>
      <c r="K218" s="13" t="n">
        <v>75</v>
      </c>
      <c r="L218" s="13" t="s">
        <v>73</v>
      </c>
      <c r="M218" s="18" t="s">
        <v>69</v>
      </c>
    </row>
    <row r="219" customFormat="false" ht="15" hidden="false" customHeight="false" outlineLevel="0" collapsed="false">
      <c r="A219" s="13" t="s">
        <v>17</v>
      </c>
      <c r="B219" s="13" t="s">
        <v>528</v>
      </c>
      <c r="C219" s="13" t="s">
        <v>542</v>
      </c>
      <c r="D219" s="13" t="s">
        <v>543</v>
      </c>
      <c r="E219" s="14" t="s">
        <v>10</v>
      </c>
      <c r="F219" s="15"/>
      <c r="G219" s="16"/>
      <c r="H219" s="13" t="s">
        <v>67</v>
      </c>
      <c r="I219" s="17" t="n">
        <v>-25.77395</v>
      </c>
      <c r="J219" s="17" t="n">
        <v>28.29014</v>
      </c>
      <c r="K219" s="13" t="n">
        <v>70</v>
      </c>
      <c r="L219" s="13" t="s">
        <v>86</v>
      </c>
      <c r="M219" s="18" t="s">
        <v>69</v>
      </c>
    </row>
    <row r="220" customFormat="false" ht="15" hidden="false" customHeight="false" outlineLevel="0" collapsed="false">
      <c r="A220" s="13" t="s">
        <v>17</v>
      </c>
      <c r="B220" s="13" t="s">
        <v>528</v>
      </c>
      <c r="C220" s="13" t="s">
        <v>544</v>
      </c>
      <c r="D220" s="13" t="s">
        <v>545</v>
      </c>
      <c r="E220" s="14" t="s">
        <v>10</v>
      </c>
      <c r="F220" s="15"/>
      <c r="G220" s="16" t="s">
        <v>546</v>
      </c>
      <c r="H220" s="13" t="s">
        <v>67</v>
      </c>
      <c r="I220" s="17" t="n">
        <v>-25.75495</v>
      </c>
      <c r="J220" s="17" t="n">
        <v>28.18182</v>
      </c>
      <c r="K220" s="13" t="n">
        <v>7</v>
      </c>
      <c r="L220" s="13" t="s">
        <v>86</v>
      </c>
      <c r="M220" s="18" t="s">
        <v>69</v>
      </c>
    </row>
    <row r="221" customFormat="false" ht="15" hidden="false" customHeight="false" outlineLevel="0" collapsed="false">
      <c r="A221" s="13" t="s">
        <v>17</v>
      </c>
      <c r="B221" s="13" t="s">
        <v>528</v>
      </c>
      <c r="C221" s="13" t="s">
        <v>547</v>
      </c>
      <c r="D221" s="13" t="s">
        <v>548</v>
      </c>
      <c r="E221" s="14" t="s">
        <v>10</v>
      </c>
      <c r="F221" s="15"/>
      <c r="G221" s="16"/>
      <c r="H221" s="13" t="s">
        <v>67</v>
      </c>
      <c r="I221" s="17" t="n">
        <v>-25.71229</v>
      </c>
      <c r="J221" s="17" t="n">
        <v>28.20311</v>
      </c>
      <c r="K221" s="13" t="n">
        <v>29</v>
      </c>
      <c r="L221" s="13" t="s">
        <v>73</v>
      </c>
      <c r="M221" s="18" t="s">
        <v>69</v>
      </c>
    </row>
    <row r="222" customFormat="false" ht="15" hidden="false" customHeight="false" outlineLevel="0" collapsed="false">
      <c r="A222" s="13" t="s">
        <v>17</v>
      </c>
      <c r="B222" s="13" t="s">
        <v>528</v>
      </c>
      <c r="C222" s="13" t="s">
        <v>549</v>
      </c>
      <c r="D222" s="13" t="s">
        <v>550</v>
      </c>
      <c r="E222" s="14" t="s">
        <v>10</v>
      </c>
      <c r="F222" s="15"/>
      <c r="G222" s="16"/>
      <c r="H222" s="13" t="s">
        <v>67</v>
      </c>
      <c r="I222" s="17" t="n">
        <v>-25.74297</v>
      </c>
      <c r="J222" s="17" t="n">
        <v>28.19541</v>
      </c>
      <c r="K222" s="13" t="n">
        <v>19</v>
      </c>
      <c r="L222" s="13" t="s">
        <v>73</v>
      </c>
      <c r="M222" s="18" t="s">
        <v>69</v>
      </c>
    </row>
    <row r="223" customFormat="false" ht="15" hidden="false" customHeight="false" outlineLevel="0" collapsed="false">
      <c r="A223" s="13" t="s">
        <v>17</v>
      </c>
      <c r="B223" s="13" t="s">
        <v>528</v>
      </c>
      <c r="C223" s="13" t="s">
        <v>551</v>
      </c>
      <c r="D223" s="13" t="s">
        <v>552</v>
      </c>
      <c r="E223" s="14" t="s">
        <v>10</v>
      </c>
      <c r="F223" s="15"/>
      <c r="G223" s="16"/>
      <c r="H223" s="13" t="s">
        <v>67</v>
      </c>
      <c r="I223" s="17" t="n">
        <v>-25.76047</v>
      </c>
      <c r="J223" s="17" t="n">
        <v>28.21878</v>
      </c>
      <c r="K223" s="13" t="n">
        <v>46</v>
      </c>
      <c r="L223" s="13" t="s">
        <v>86</v>
      </c>
      <c r="M223" s="18" t="s">
        <v>69</v>
      </c>
    </row>
    <row r="224" customFormat="false" ht="15" hidden="false" customHeight="false" outlineLevel="0" collapsed="false">
      <c r="A224" s="13" t="s">
        <v>17</v>
      </c>
      <c r="B224" s="13" t="s">
        <v>528</v>
      </c>
      <c r="C224" s="13" t="s">
        <v>553</v>
      </c>
      <c r="D224" s="13" t="s">
        <v>552</v>
      </c>
      <c r="E224" s="14" t="s">
        <v>10</v>
      </c>
      <c r="F224" s="15"/>
      <c r="G224" s="16"/>
      <c r="H224" s="13" t="s">
        <v>67</v>
      </c>
      <c r="I224" s="17" t="n">
        <v>-25.76938</v>
      </c>
      <c r="J224" s="17" t="n">
        <v>28.24602</v>
      </c>
      <c r="K224" s="13" t="n">
        <v>74</v>
      </c>
      <c r="L224" s="13" t="s">
        <v>86</v>
      </c>
      <c r="M224" s="18" t="s">
        <v>69</v>
      </c>
    </row>
    <row r="225" customFormat="false" ht="15" hidden="false" customHeight="false" outlineLevel="0" collapsed="false">
      <c r="A225" s="13" t="s">
        <v>17</v>
      </c>
      <c r="B225" s="13" t="s">
        <v>528</v>
      </c>
      <c r="C225" s="13" t="s">
        <v>554</v>
      </c>
      <c r="D225" s="13" t="s">
        <v>555</v>
      </c>
      <c r="E225" s="14" t="s">
        <v>10</v>
      </c>
      <c r="F225" s="15"/>
      <c r="G225" s="16"/>
      <c r="H225" s="13" t="s">
        <v>67</v>
      </c>
      <c r="I225" s="17" t="n">
        <v>-25.75106</v>
      </c>
      <c r="J225" s="17" t="n">
        <v>28.18108</v>
      </c>
      <c r="K225" s="13" t="n">
        <v>13</v>
      </c>
      <c r="L225" s="13" t="s">
        <v>73</v>
      </c>
      <c r="M225" s="18" t="s">
        <v>69</v>
      </c>
    </row>
    <row r="226" customFormat="false" ht="15" hidden="false" customHeight="false" outlineLevel="0" collapsed="false">
      <c r="A226" s="13" t="s">
        <v>17</v>
      </c>
      <c r="B226" s="13" t="s">
        <v>528</v>
      </c>
      <c r="C226" s="13" t="s">
        <v>556</v>
      </c>
      <c r="D226" s="13" t="s">
        <v>413</v>
      </c>
      <c r="E226" s="14" t="s">
        <v>10</v>
      </c>
      <c r="F226" s="15"/>
      <c r="G226" s="16"/>
      <c r="H226" s="13" t="s">
        <v>67</v>
      </c>
      <c r="I226" s="17" t="n">
        <v>-25.75832</v>
      </c>
      <c r="J226" s="17" t="n">
        <v>28.19375</v>
      </c>
      <c r="K226" s="13" t="n">
        <v>11</v>
      </c>
      <c r="L226" s="13" t="s">
        <v>68</v>
      </c>
      <c r="M226" s="18" t="s">
        <v>69</v>
      </c>
    </row>
    <row r="227" customFormat="false" ht="15" hidden="false" customHeight="false" outlineLevel="0" collapsed="false">
      <c r="A227" s="13" t="s">
        <v>17</v>
      </c>
      <c r="B227" s="13" t="s">
        <v>528</v>
      </c>
      <c r="C227" s="13" t="s">
        <v>557</v>
      </c>
      <c r="D227" s="13" t="s">
        <v>558</v>
      </c>
      <c r="E227" s="14" t="s">
        <v>10</v>
      </c>
      <c r="F227" s="15"/>
      <c r="G227" s="16"/>
      <c r="H227" s="13" t="s">
        <v>67</v>
      </c>
      <c r="I227" s="17" t="n">
        <v>-25.74531</v>
      </c>
      <c r="J227" s="17" t="n">
        <v>28.18306</v>
      </c>
      <c r="K227" s="13" t="n">
        <v>17</v>
      </c>
      <c r="L227" s="13" t="s">
        <v>68</v>
      </c>
      <c r="M227" s="18" t="s">
        <v>69</v>
      </c>
    </row>
    <row r="228" customFormat="false" ht="15" hidden="false" customHeight="false" outlineLevel="0" collapsed="false">
      <c r="A228" s="13" t="s">
        <v>17</v>
      </c>
      <c r="B228" s="13" t="s">
        <v>528</v>
      </c>
      <c r="C228" s="13" t="s">
        <v>559</v>
      </c>
      <c r="D228" s="13" t="s">
        <v>560</v>
      </c>
      <c r="E228" s="14" t="s">
        <v>10</v>
      </c>
      <c r="F228" s="15"/>
      <c r="G228" s="16"/>
      <c r="H228" s="13" t="s">
        <v>67</v>
      </c>
      <c r="I228" s="17" t="n">
        <v>-25.75039</v>
      </c>
      <c r="J228" s="17" t="n">
        <v>28.19536</v>
      </c>
      <c r="K228" s="13" t="n">
        <v>38</v>
      </c>
      <c r="L228" s="13" t="s">
        <v>73</v>
      </c>
      <c r="M228" s="18" t="s">
        <v>69</v>
      </c>
    </row>
    <row r="229" customFormat="false" ht="15" hidden="false" customHeight="false" outlineLevel="0" collapsed="false">
      <c r="A229" s="13" t="s">
        <v>17</v>
      </c>
      <c r="B229" s="13" t="s">
        <v>528</v>
      </c>
      <c r="C229" s="13" t="s">
        <v>561</v>
      </c>
      <c r="D229" s="13" t="s">
        <v>562</v>
      </c>
      <c r="E229" s="14" t="s">
        <v>10</v>
      </c>
      <c r="F229" s="15"/>
      <c r="G229" s="16"/>
      <c r="H229" s="13" t="s">
        <v>67</v>
      </c>
      <c r="I229" s="17" t="n">
        <v>-25.71919</v>
      </c>
      <c r="J229" s="17" t="n">
        <v>28.21451</v>
      </c>
      <c r="K229" s="13" t="n">
        <v>25</v>
      </c>
      <c r="L229" s="13" t="s">
        <v>68</v>
      </c>
      <c r="M229" s="18" t="s">
        <v>69</v>
      </c>
    </row>
    <row r="230" customFormat="false" ht="15" hidden="false" customHeight="false" outlineLevel="0" collapsed="false">
      <c r="A230" s="13" t="s">
        <v>17</v>
      </c>
      <c r="B230" s="13" t="s">
        <v>528</v>
      </c>
      <c r="C230" s="13" t="s">
        <v>563</v>
      </c>
      <c r="D230" s="13" t="s">
        <v>564</v>
      </c>
      <c r="E230" s="14" t="s">
        <v>10</v>
      </c>
      <c r="F230" s="15"/>
      <c r="G230" s="16"/>
      <c r="H230" s="13" t="s">
        <v>67</v>
      </c>
      <c r="I230" s="17" t="n">
        <v>-25.75255</v>
      </c>
      <c r="J230" s="17" t="n">
        <v>28.20397</v>
      </c>
      <c r="K230" s="13" t="n">
        <v>4</v>
      </c>
      <c r="L230" s="13" t="s">
        <v>80</v>
      </c>
      <c r="M230" s="18" t="s">
        <v>69</v>
      </c>
    </row>
    <row r="231" customFormat="false" ht="15" hidden="false" customHeight="false" outlineLevel="0" collapsed="false">
      <c r="A231" s="13" t="s">
        <v>17</v>
      </c>
      <c r="B231" s="13" t="s">
        <v>528</v>
      </c>
      <c r="C231" s="13" t="s">
        <v>565</v>
      </c>
      <c r="D231" s="13" t="s">
        <v>566</v>
      </c>
      <c r="E231" s="14" t="s">
        <v>10</v>
      </c>
      <c r="F231" s="15"/>
      <c r="G231" s="16"/>
      <c r="H231" s="13" t="s">
        <v>67</v>
      </c>
      <c r="I231" s="17" t="n">
        <v>-25.68105</v>
      </c>
      <c r="J231" s="17" t="n">
        <v>28.22144</v>
      </c>
      <c r="K231" s="13" t="n">
        <v>148</v>
      </c>
      <c r="L231" s="13" t="s">
        <v>80</v>
      </c>
      <c r="M231" s="18" t="s">
        <v>69</v>
      </c>
    </row>
    <row r="232" customFormat="false" ht="15" hidden="false" customHeight="false" outlineLevel="0" collapsed="false">
      <c r="A232" s="13" t="s">
        <v>17</v>
      </c>
      <c r="B232" s="13" t="s">
        <v>528</v>
      </c>
      <c r="C232" s="13" t="s">
        <v>567</v>
      </c>
      <c r="D232" s="13" t="s">
        <v>568</v>
      </c>
      <c r="E232" s="14" t="s">
        <v>10</v>
      </c>
      <c r="F232" s="15"/>
      <c r="G232" s="16"/>
      <c r="H232" s="13" t="s">
        <v>67</v>
      </c>
      <c r="I232" s="17" t="n">
        <v>-25.7373</v>
      </c>
      <c r="J232" s="17" t="n">
        <v>28.19775</v>
      </c>
      <c r="K232" s="13" t="n">
        <v>8</v>
      </c>
      <c r="L232" s="13" t="s">
        <v>441</v>
      </c>
      <c r="M232" s="18" t="s">
        <v>69</v>
      </c>
    </row>
    <row r="233" customFormat="false" ht="15" hidden="false" customHeight="false" outlineLevel="0" collapsed="false">
      <c r="A233" s="13" t="s">
        <v>17</v>
      </c>
      <c r="B233" s="13" t="s">
        <v>569</v>
      </c>
      <c r="C233" s="13" t="s">
        <v>401</v>
      </c>
      <c r="D233" s="13" t="s">
        <v>260</v>
      </c>
      <c r="E233" s="14" t="s">
        <v>10</v>
      </c>
      <c r="F233" s="15"/>
      <c r="G233" s="16"/>
      <c r="H233" s="13" t="s">
        <v>67</v>
      </c>
      <c r="I233" s="17" t="n">
        <v>-25.81454</v>
      </c>
      <c r="J233" s="17" t="n">
        <v>28.23801</v>
      </c>
      <c r="K233" s="13" t="n">
        <v>264</v>
      </c>
      <c r="L233" s="13" t="s">
        <v>73</v>
      </c>
      <c r="M233" s="18" t="s">
        <v>69</v>
      </c>
    </row>
    <row r="234" customFormat="false" ht="15" hidden="false" customHeight="false" outlineLevel="0" collapsed="false">
      <c r="A234" s="13" t="s">
        <v>17</v>
      </c>
      <c r="B234" s="13" t="s">
        <v>528</v>
      </c>
      <c r="C234" s="13" t="s">
        <v>570</v>
      </c>
      <c r="D234" s="13" t="s">
        <v>424</v>
      </c>
      <c r="E234" s="14" t="s">
        <v>10</v>
      </c>
      <c r="F234" s="15"/>
      <c r="G234" s="16"/>
      <c r="H234" s="13" t="s">
        <v>67</v>
      </c>
      <c r="I234" s="17" t="n">
        <v>-25.73882</v>
      </c>
      <c r="J234" s="17" t="n">
        <v>28.18203</v>
      </c>
      <c r="K234" s="13" t="n">
        <v>13</v>
      </c>
      <c r="L234" s="13" t="s">
        <v>123</v>
      </c>
      <c r="M234" s="18" t="s">
        <v>69</v>
      </c>
    </row>
    <row r="235" customFormat="false" ht="15" hidden="false" customHeight="false" outlineLevel="0" collapsed="false">
      <c r="A235" s="13" t="s">
        <v>17</v>
      </c>
      <c r="B235" s="13" t="s">
        <v>528</v>
      </c>
      <c r="C235" s="13" t="s">
        <v>65</v>
      </c>
      <c r="D235" s="13" t="s">
        <v>571</v>
      </c>
      <c r="E235" s="14" t="s">
        <v>10</v>
      </c>
      <c r="F235" s="15"/>
      <c r="G235" s="16"/>
      <c r="H235" s="13" t="s">
        <v>67</v>
      </c>
      <c r="I235" s="17" t="n">
        <v>-25.73961</v>
      </c>
      <c r="J235" s="17" t="n">
        <v>28.26255</v>
      </c>
      <c r="K235" s="13" t="n">
        <v>141</v>
      </c>
      <c r="L235" s="13" t="s">
        <v>86</v>
      </c>
      <c r="M235" s="18" t="s">
        <v>69</v>
      </c>
    </row>
    <row r="236" customFormat="false" ht="15" hidden="false" customHeight="false" outlineLevel="0" collapsed="false">
      <c r="A236" s="13" t="s">
        <v>17</v>
      </c>
      <c r="B236" s="13" t="s">
        <v>528</v>
      </c>
      <c r="C236" s="13" t="s">
        <v>388</v>
      </c>
      <c r="D236" s="13" t="s">
        <v>572</v>
      </c>
      <c r="E236" s="14" t="s">
        <v>10</v>
      </c>
      <c r="F236" s="15"/>
      <c r="G236" s="16" t="s">
        <v>573</v>
      </c>
      <c r="H236" s="13" t="s">
        <v>67</v>
      </c>
      <c r="I236" s="17" t="n">
        <v>-25.70418</v>
      </c>
      <c r="J236" s="17" t="n">
        <v>28.20024</v>
      </c>
      <c r="K236" s="13" t="n">
        <v>54</v>
      </c>
      <c r="L236" s="13" t="s">
        <v>73</v>
      </c>
      <c r="M236" s="18" t="s">
        <v>69</v>
      </c>
    </row>
    <row r="237" customFormat="false" ht="15" hidden="false" customHeight="false" outlineLevel="0" collapsed="false">
      <c r="A237" s="13" t="s">
        <v>17</v>
      </c>
      <c r="B237" s="13" t="s">
        <v>528</v>
      </c>
      <c r="C237" s="13" t="s">
        <v>574</v>
      </c>
      <c r="D237" s="13" t="s">
        <v>572</v>
      </c>
      <c r="E237" s="14" t="s">
        <v>10</v>
      </c>
      <c r="F237" s="15"/>
      <c r="G237" s="16"/>
      <c r="H237" s="13" t="s">
        <v>67</v>
      </c>
      <c r="I237" s="17" t="n">
        <v>-25.73502</v>
      </c>
      <c r="J237" s="17" t="n">
        <v>28.20349</v>
      </c>
      <c r="K237" s="13" t="n">
        <v>13</v>
      </c>
      <c r="L237" s="13" t="s">
        <v>73</v>
      </c>
      <c r="M237" s="18" t="s">
        <v>69</v>
      </c>
    </row>
    <row r="238" customFormat="false" ht="15" hidden="false" customHeight="false" outlineLevel="0" collapsed="false">
      <c r="A238" s="13" t="s">
        <v>17</v>
      </c>
      <c r="B238" s="13" t="s">
        <v>528</v>
      </c>
      <c r="C238" s="13" t="s">
        <v>575</v>
      </c>
      <c r="D238" s="13" t="s">
        <v>572</v>
      </c>
      <c r="E238" s="14" t="s">
        <v>10</v>
      </c>
      <c r="F238" s="15"/>
      <c r="G238" s="16"/>
      <c r="H238" s="13" t="s">
        <v>67</v>
      </c>
      <c r="I238" s="17" t="n">
        <v>-25.75581</v>
      </c>
      <c r="J238" s="17" t="n">
        <v>28.20134</v>
      </c>
      <c r="K238" s="13" t="n">
        <v>8</v>
      </c>
      <c r="L238" s="13" t="s">
        <v>86</v>
      </c>
      <c r="M238" s="18" t="s">
        <v>69</v>
      </c>
    </row>
    <row r="239" customFormat="false" ht="15" hidden="false" customHeight="false" outlineLevel="0" collapsed="false">
      <c r="A239" s="13" t="s">
        <v>17</v>
      </c>
      <c r="B239" s="13" t="s">
        <v>528</v>
      </c>
      <c r="C239" s="13" t="s">
        <v>576</v>
      </c>
      <c r="D239" s="13" t="s">
        <v>577</v>
      </c>
      <c r="E239" s="14" t="s">
        <v>10</v>
      </c>
      <c r="F239" s="15"/>
      <c r="G239" s="16"/>
      <c r="H239" s="13" t="s">
        <v>67</v>
      </c>
      <c r="I239" s="17" t="n">
        <v>-25.73974</v>
      </c>
      <c r="J239" s="17" t="n">
        <v>28.18995</v>
      </c>
      <c r="K239" s="13" t="n">
        <v>16</v>
      </c>
      <c r="L239" s="13" t="s">
        <v>86</v>
      </c>
      <c r="M239" s="18" t="s">
        <v>69</v>
      </c>
    </row>
    <row r="240" customFormat="false" ht="15" hidden="false" customHeight="false" outlineLevel="0" collapsed="false">
      <c r="A240" s="13" t="s">
        <v>17</v>
      </c>
      <c r="B240" s="13" t="s">
        <v>528</v>
      </c>
      <c r="C240" s="13" t="s">
        <v>65</v>
      </c>
      <c r="D240" s="13" t="s">
        <v>578</v>
      </c>
      <c r="E240" s="14" t="s">
        <v>10</v>
      </c>
      <c r="F240" s="15"/>
      <c r="G240" s="16"/>
      <c r="H240" s="13" t="s">
        <v>67</v>
      </c>
      <c r="I240" s="17" t="n">
        <v>-25.75345</v>
      </c>
      <c r="J240" s="17" t="n">
        <v>28.11152</v>
      </c>
      <c r="K240" s="13" t="n">
        <v>119</v>
      </c>
      <c r="L240" s="13" t="s">
        <v>86</v>
      </c>
      <c r="M240" s="18" t="s">
        <v>69</v>
      </c>
    </row>
    <row r="241" customFormat="false" ht="23.85" hidden="false" customHeight="false" outlineLevel="0" collapsed="false">
      <c r="A241" s="13" t="s">
        <v>17</v>
      </c>
      <c r="B241" s="13" t="s">
        <v>528</v>
      </c>
      <c r="C241" s="13" t="s">
        <v>579</v>
      </c>
      <c r="D241" s="13" t="s">
        <v>580</v>
      </c>
      <c r="E241" s="21" t="s">
        <v>11</v>
      </c>
      <c r="F241" s="15"/>
      <c r="G241" s="16" t="s">
        <v>581</v>
      </c>
      <c r="H241" s="13" t="s">
        <v>303</v>
      </c>
      <c r="I241" s="17"/>
      <c r="J241" s="17"/>
      <c r="K241" s="13"/>
      <c r="L241" s="13"/>
      <c r="M241" s="13"/>
    </row>
    <row r="242" customFormat="false" ht="23.85" hidden="false" customHeight="false" outlineLevel="0" collapsed="false">
      <c r="A242" s="13" t="s">
        <v>17</v>
      </c>
      <c r="B242" s="13" t="s">
        <v>528</v>
      </c>
      <c r="C242" s="13" t="s">
        <v>582</v>
      </c>
      <c r="D242" s="13" t="s">
        <v>583</v>
      </c>
      <c r="E242" s="21" t="s">
        <v>11</v>
      </c>
      <c r="F242" s="15"/>
      <c r="G242" s="16" t="s">
        <v>581</v>
      </c>
      <c r="H242" s="13" t="s">
        <v>303</v>
      </c>
      <c r="I242" s="17"/>
      <c r="J242" s="17"/>
      <c r="K242" s="13"/>
      <c r="L242" s="13"/>
      <c r="M242" s="13"/>
    </row>
    <row r="243" customFormat="false" ht="15" hidden="false" customHeight="false" outlineLevel="0" collapsed="false">
      <c r="A243" s="13" t="s">
        <v>17</v>
      </c>
      <c r="B243" s="13" t="s">
        <v>528</v>
      </c>
      <c r="C243" s="13" t="s">
        <v>567</v>
      </c>
      <c r="D243" s="13" t="s">
        <v>584</v>
      </c>
      <c r="E243" s="20" t="s">
        <v>13</v>
      </c>
      <c r="F243" s="15"/>
      <c r="G243" s="16" t="s">
        <v>79</v>
      </c>
      <c r="H243" s="13" t="s">
        <v>67</v>
      </c>
      <c r="I243" s="17" t="n">
        <v>-25.73998</v>
      </c>
      <c r="J243" s="17" t="n">
        <v>28.19505</v>
      </c>
      <c r="K243" s="13" t="n">
        <v>1</v>
      </c>
      <c r="L243" s="13" t="s">
        <v>86</v>
      </c>
      <c r="M243" s="18" t="s">
        <v>69</v>
      </c>
    </row>
    <row r="244" customFormat="false" ht="15" hidden="false" customHeight="false" outlineLevel="0" collapsed="false">
      <c r="A244" s="13" t="s">
        <v>17</v>
      </c>
      <c r="B244" s="13" t="s">
        <v>528</v>
      </c>
      <c r="C244" s="13" t="s">
        <v>65</v>
      </c>
      <c r="D244" s="13" t="s">
        <v>585</v>
      </c>
      <c r="E244" s="20" t="s">
        <v>13</v>
      </c>
      <c r="F244" s="15"/>
      <c r="G244" s="16" t="s">
        <v>79</v>
      </c>
      <c r="H244" s="13" t="s">
        <v>67</v>
      </c>
      <c r="I244" s="17" t="n">
        <v>-25.7384</v>
      </c>
      <c r="J244" s="17" t="n">
        <v>28.26717</v>
      </c>
      <c r="K244" s="13" t="n">
        <v>1</v>
      </c>
      <c r="L244" s="13" t="s">
        <v>86</v>
      </c>
      <c r="M244" s="18" t="s">
        <v>69</v>
      </c>
    </row>
    <row r="245" customFormat="false" ht="15" hidden="false" customHeight="false" outlineLevel="0" collapsed="false">
      <c r="A245" s="13" t="s">
        <v>17</v>
      </c>
      <c r="B245" s="13" t="s">
        <v>528</v>
      </c>
      <c r="C245" s="13" t="s">
        <v>575</v>
      </c>
      <c r="D245" s="13" t="s">
        <v>586</v>
      </c>
      <c r="E245" s="20" t="s">
        <v>13</v>
      </c>
      <c r="F245" s="15"/>
      <c r="G245" s="16" t="s">
        <v>79</v>
      </c>
      <c r="H245" s="13" t="s">
        <v>67</v>
      </c>
      <c r="I245" s="17" t="n">
        <v>-25.76049</v>
      </c>
      <c r="J245" s="17" t="n">
        <v>28.19979</v>
      </c>
      <c r="K245" s="13" t="n">
        <v>2</v>
      </c>
      <c r="L245" s="13" t="s">
        <v>86</v>
      </c>
      <c r="M245" s="18" t="s">
        <v>69</v>
      </c>
    </row>
    <row r="246" customFormat="false" ht="15" hidden="false" customHeight="false" outlineLevel="0" collapsed="false">
      <c r="A246" s="13" t="s">
        <v>17</v>
      </c>
      <c r="B246" s="13" t="s">
        <v>587</v>
      </c>
      <c r="C246" s="13" t="s">
        <v>588</v>
      </c>
      <c r="D246" s="13" t="s">
        <v>589</v>
      </c>
      <c r="E246" s="20" t="s">
        <v>13</v>
      </c>
      <c r="F246" s="15"/>
      <c r="G246" s="16" t="s">
        <v>590</v>
      </c>
      <c r="H246" s="13" t="s">
        <v>67</v>
      </c>
      <c r="I246" s="17" t="n">
        <v>-25.79688</v>
      </c>
      <c r="J246" s="17" t="n">
        <v>28.4074</v>
      </c>
      <c r="K246" s="13" t="n">
        <v>1</v>
      </c>
      <c r="L246" s="13" t="s">
        <v>80</v>
      </c>
      <c r="M246" s="18" t="s">
        <v>69</v>
      </c>
    </row>
    <row r="247" customFormat="false" ht="15" hidden="false" customHeight="false" outlineLevel="0" collapsed="false">
      <c r="A247" s="13" t="s">
        <v>17</v>
      </c>
      <c r="B247" s="13" t="s">
        <v>528</v>
      </c>
      <c r="C247" s="13" t="s">
        <v>529</v>
      </c>
      <c r="D247" s="13" t="s">
        <v>560</v>
      </c>
      <c r="E247" s="20" t="s">
        <v>13</v>
      </c>
      <c r="F247" s="15"/>
      <c r="G247" s="16" t="s">
        <v>79</v>
      </c>
      <c r="H247" s="13" t="s">
        <v>67</v>
      </c>
      <c r="I247" s="17" t="n">
        <v>-25.75241</v>
      </c>
      <c r="J247" s="17" t="n">
        <v>28.17553</v>
      </c>
      <c r="K247" s="13" t="n">
        <v>1</v>
      </c>
      <c r="L247" s="13" t="s">
        <v>73</v>
      </c>
      <c r="M247" s="18" t="s">
        <v>69</v>
      </c>
    </row>
    <row r="248" customFormat="false" ht="15" hidden="false" customHeight="false" outlineLevel="0" collapsed="false">
      <c r="A248" s="13" t="s">
        <v>17</v>
      </c>
      <c r="B248" s="13" t="s">
        <v>528</v>
      </c>
      <c r="C248" s="13" t="s">
        <v>567</v>
      </c>
      <c r="D248" s="13" t="s">
        <v>591</v>
      </c>
      <c r="E248" s="20" t="s">
        <v>13</v>
      </c>
      <c r="F248" s="15"/>
      <c r="G248" s="16" t="s">
        <v>79</v>
      </c>
      <c r="H248" s="13" t="s">
        <v>67</v>
      </c>
      <c r="I248" s="17" t="n">
        <v>-25.73772</v>
      </c>
      <c r="J248" s="17" t="n">
        <v>28.19737</v>
      </c>
      <c r="K248" s="13" t="n">
        <v>4</v>
      </c>
      <c r="L248" s="13" t="s">
        <v>86</v>
      </c>
      <c r="M248" s="18" t="s">
        <v>69</v>
      </c>
    </row>
    <row r="249" customFormat="false" ht="15" hidden="false" customHeight="false" outlineLevel="0" collapsed="false">
      <c r="A249" s="13" t="s">
        <v>17</v>
      </c>
      <c r="B249" s="13" t="s">
        <v>528</v>
      </c>
      <c r="C249" s="13" t="s">
        <v>421</v>
      </c>
      <c r="D249" s="13" t="s">
        <v>572</v>
      </c>
      <c r="E249" s="20" t="s">
        <v>13</v>
      </c>
      <c r="F249" s="15"/>
      <c r="G249" s="16" t="s">
        <v>79</v>
      </c>
      <c r="H249" s="13" t="s">
        <v>67</v>
      </c>
      <c r="I249" s="17" t="n">
        <v>-25.75229</v>
      </c>
      <c r="J249" s="17" t="n">
        <v>28.20317</v>
      </c>
      <c r="K249" s="13" t="n">
        <v>4</v>
      </c>
      <c r="L249" s="13" t="s">
        <v>86</v>
      </c>
      <c r="M249" s="18" t="s">
        <v>69</v>
      </c>
    </row>
    <row r="250" customFormat="false" ht="15" hidden="false" customHeight="false" outlineLevel="0" collapsed="false">
      <c r="A250" s="13" t="s">
        <v>17</v>
      </c>
      <c r="B250" s="13" t="s">
        <v>569</v>
      </c>
      <c r="C250" s="13" t="s">
        <v>401</v>
      </c>
      <c r="D250" s="13" t="s">
        <v>592</v>
      </c>
      <c r="E250" s="20" t="s">
        <v>13</v>
      </c>
      <c r="F250" s="15"/>
      <c r="G250" s="16" t="s">
        <v>79</v>
      </c>
      <c r="H250" s="13" t="s">
        <v>67</v>
      </c>
      <c r="I250" s="17" t="n">
        <v>-25.81546</v>
      </c>
      <c r="J250" s="17" t="n">
        <v>28.20797</v>
      </c>
      <c r="K250" s="13" t="n">
        <v>15</v>
      </c>
      <c r="L250" s="13" t="s">
        <v>73</v>
      </c>
      <c r="M250" s="18" t="s">
        <v>69</v>
      </c>
    </row>
    <row r="251" customFormat="false" ht="15" hidden="false" customHeight="false" outlineLevel="0" collapsed="false">
      <c r="A251" s="13" t="s">
        <v>39</v>
      </c>
      <c r="B251" s="13" t="s">
        <v>39</v>
      </c>
      <c r="C251" s="13" t="s">
        <v>593</v>
      </c>
      <c r="D251" s="13" t="s">
        <v>594</v>
      </c>
      <c r="E251" s="20" t="s">
        <v>13</v>
      </c>
      <c r="F251" s="15"/>
      <c r="G251" s="16" t="s">
        <v>595</v>
      </c>
      <c r="H251" s="13" t="s">
        <v>67</v>
      </c>
      <c r="I251" s="17" t="n">
        <v>-33.96449</v>
      </c>
      <c r="J251" s="17" t="n">
        <v>24.02098</v>
      </c>
      <c r="K251" s="13" t="n">
        <v>1</v>
      </c>
      <c r="L251" s="13" t="s">
        <v>596</v>
      </c>
      <c r="M251" s="18" t="s">
        <v>69</v>
      </c>
    </row>
    <row r="252" customFormat="false" ht="15" hidden="false" customHeight="false" outlineLevel="0" collapsed="false">
      <c r="A252" s="13" t="s">
        <v>40</v>
      </c>
      <c r="B252" s="13" t="s">
        <v>40</v>
      </c>
      <c r="C252" s="13" t="s">
        <v>597</v>
      </c>
      <c r="D252" s="13" t="s">
        <v>598</v>
      </c>
      <c r="E252" s="19" t="s">
        <v>12</v>
      </c>
      <c r="F252" s="15"/>
      <c r="G252" s="16" t="s">
        <v>599</v>
      </c>
      <c r="H252" s="13" t="s">
        <v>67</v>
      </c>
      <c r="I252" s="17" t="n">
        <v>-26.70357</v>
      </c>
      <c r="J252" s="17" t="n">
        <v>27.82884</v>
      </c>
      <c r="K252" s="13" t="n">
        <v>4</v>
      </c>
      <c r="L252" s="13" t="s">
        <v>68</v>
      </c>
      <c r="M252" s="18" t="s">
        <v>69</v>
      </c>
    </row>
    <row r="253" customFormat="false" ht="15" hidden="false" customHeight="false" outlineLevel="0" collapsed="false">
      <c r="A253" s="13" t="s">
        <v>31</v>
      </c>
      <c r="B253" s="13" t="s">
        <v>31</v>
      </c>
      <c r="C253" s="13" t="s">
        <v>600</v>
      </c>
      <c r="D253" s="13" t="s">
        <v>601</v>
      </c>
      <c r="E253" s="14" t="s">
        <v>10</v>
      </c>
      <c r="F253" s="15"/>
      <c r="G253" s="16"/>
      <c r="H253" s="13" t="s">
        <v>67</v>
      </c>
      <c r="I253" s="17" t="n">
        <v>-27.36579</v>
      </c>
      <c r="J253" s="17" t="n">
        <v>29.88609</v>
      </c>
      <c r="K253" s="13" t="n">
        <v>5</v>
      </c>
      <c r="L253" s="13" t="s">
        <v>77</v>
      </c>
      <c r="M253" s="18" t="s">
        <v>69</v>
      </c>
    </row>
    <row r="254" customFormat="false" ht="15" hidden="false" customHeight="false" outlineLevel="0" collapsed="false">
      <c r="A254" s="13" t="s">
        <v>41</v>
      </c>
      <c r="B254" s="13" t="s">
        <v>41</v>
      </c>
      <c r="C254" s="13" t="s">
        <v>602</v>
      </c>
      <c r="D254" s="13" t="s">
        <v>603</v>
      </c>
      <c r="E254" s="20" t="s">
        <v>13</v>
      </c>
      <c r="F254" s="15"/>
      <c r="G254" s="16" t="s">
        <v>604</v>
      </c>
      <c r="H254" s="13" t="s">
        <v>67</v>
      </c>
      <c r="I254" s="17" t="n">
        <v>-33.62954</v>
      </c>
      <c r="J254" s="17" t="n">
        <v>19.45545</v>
      </c>
      <c r="K254" s="13" t="n">
        <v>1</v>
      </c>
      <c r="L254" s="13" t="s">
        <v>80</v>
      </c>
      <c r="M254" s="18" t="s">
        <v>69</v>
      </c>
    </row>
    <row r="255" customFormat="false" ht="15" hidden="false" customHeight="false" outlineLevel="0" collapsed="false">
      <c r="A255" s="13" t="s">
        <v>42</v>
      </c>
      <c r="B255" s="13" t="s">
        <v>42</v>
      </c>
      <c r="C255" s="13" t="s">
        <v>605</v>
      </c>
      <c r="D255" s="13" t="s">
        <v>388</v>
      </c>
      <c r="E255" s="20" t="s">
        <v>13</v>
      </c>
      <c r="F255" s="15"/>
      <c r="G255" s="16" t="s">
        <v>83</v>
      </c>
      <c r="H255" s="13" t="s">
        <v>67</v>
      </c>
      <c r="I255" s="17" t="n">
        <v>-30.30033</v>
      </c>
      <c r="J255" s="17" t="n">
        <v>27.07844</v>
      </c>
      <c r="K255" s="13" t="n">
        <v>2</v>
      </c>
      <c r="L255" s="13" t="s">
        <v>80</v>
      </c>
      <c r="M255" s="18" t="s">
        <v>69</v>
      </c>
    </row>
  </sheetData>
  <autoFilter ref="A1:M255"/>
  <conditionalFormatting sqref="F2:F255">
    <cfRule type="cellIs" priority="2" operator="equal" aboveAverage="0" equalAverage="0" bottom="0" percent="0" rank="0" text="" dxfId="11">
      <formula>"Keep"</formula>
    </cfRule>
    <cfRule type="cellIs" priority="3" operator="equal" aboveAverage="0" equalAverage="0" bottom="0" percent="0" rank="0" text="" dxfId="12">
      <formula>"Drop"</formula>
    </cfRule>
  </conditionalFormatting>
  <dataValidations count="1">
    <dataValidation allowBlank="true" error="Choose Keep, Drop or Unsure" errorStyle="stop" operator="between" prompt="Keep, Drop or Unsure" showDropDown="false" showErrorMessage="false" showInputMessage="false" sqref="F2:F255" type="list">
      <formula1>"Keep,Drop,Unsure"</formula1>
      <formula2>0</formula2>
    </dataValidation>
  </dataValidations>
  <hyperlinks>
    <hyperlink ref="M2" r:id="rId2" location="map=17/-26.45266/29.46687" display="Open map"/>
    <hyperlink ref="M3" r:id="rId3" location="map=17/-29.1052/26.23482" display="Open map"/>
    <hyperlink ref="M4" r:id="rId4" location="map=17/-29.1234/26.19797" display="Open map"/>
    <hyperlink ref="M5" r:id="rId5" location="map=17/-29.12547/26.18381" display="Open map"/>
    <hyperlink ref="M6" r:id="rId6" location="map=17/-29.13524/26.18792" display="Open map"/>
    <hyperlink ref="M7" r:id="rId7" location="map=17/-33.9211/18.43371" display="Open map"/>
    <hyperlink ref="M8" r:id="rId8" location="map=17/-33.92133/18.45198" display="Open map"/>
    <hyperlink ref="M9" r:id="rId9" location="map=17/-34.00239/18.51792" display="Open map"/>
    <hyperlink ref="M10" r:id="rId10" location="map=17/-33.93266/18.43728" display="Open map"/>
    <hyperlink ref="M11" r:id="rId11" location="map=17/-33.90727/18.41042" display="Open map"/>
    <hyperlink ref="M12" r:id="rId12" location="map=17/-33.98306/18.4685" display="Open map"/>
    <hyperlink ref="M13" r:id="rId13" location="map=17/-33.95529/18.54096" display="Open map"/>
    <hyperlink ref="M14" r:id="rId14" location="map=17/-34.00893/18.63592" display="Open map"/>
    <hyperlink ref="M15" r:id="rId15" location="map=17/-33.94555/18.53768" display="Open map"/>
    <hyperlink ref="M16" r:id="rId16" location="map=17/-33.9189/18.4332" display="Open map"/>
    <hyperlink ref="M17" r:id="rId17" location="map=17/-33.93877/18.44395" display="Open map"/>
    <hyperlink ref="M18" r:id="rId18" location="map=17/-33.95853/18.55875" display="Open map"/>
    <hyperlink ref="M19" r:id="rId19" location="map=17/-33.88612/18.61006" display="Open map"/>
    <hyperlink ref="M20" r:id="rId20" location="map=17/-33.91701/18.4272" display="Open map"/>
    <hyperlink ref="M21" r:id="rId21" location="map=17/-33.95499/18.46161" display="Open map"/>
    <hyperlink ref="M22" r:id="rId22" location="map=17/-33.93695/18.41923" display="Open map"/>
    <hyperlink ref="M23" r:id="rId23" location="map=17/-33.9064/18.39846" display="Open map"/>
    <hyperlink ref="M24" r:id="rId24" location="map=17/-34.19419/18.43244" display="Open map"/>
    <hyperlink ref="M25" r:id="rId25" location="map=17/-33.91575/18.42235" display="Open map"/>
    <hyperlink ref="M26" r:id="rId26" location="map=17/-33.98269/18.46791" display="Open map"/>
    <hyperlink ref="M27" r:id="rId27" location="map=17/-33.89488/18.62856" display="Open map"/>
    <hyperlink ref="M28" r:id="rId28" location="map=17/-33.93494/18.43156" display="Open map"/>
    <hyperlink ref="M29" r:id="rId29" location="map=17/-33.94602/18.53375" display="Open map"/>
    <hyperlink ref="M30" r:id="rId30" location="map=17/-33.94624/18.53594" display="Open map"/>
    <hyperlink ref="M31" r:id="rId31" location="map=17/-29.77512/31.04417" display="Open map"/>
    <hyperlink ref="M32" r:id="rId32" location="map=17/-29.86159/31.01056" display="Open map"/>
    <hyperlink ref="M33" r:id="rId33" location="map=17/-29.85072/31.02471" display="Open map"/>
    <hyperlink ref="M34" r:id="rId34" location="map=17/-29.8555/31.02215" display="Open map"/>
    <hyperlink ref="M35" r:id="rId35" location="map=17/-29.85306/31.02189" display="Open map"/>
    <hyperlink ref="M36" r:id="rId36" location="map=17/-29.85199/31.01534" display="Open map"/>
    <hyperlink ref="M37" r:id="rId37" location="map=17/-29.85539/30.99818" display="Open map"/>
    <hyperlink ref="M38" r:id="rId38" location="map=17/-29.80901/31.01436" display="Open map"/>
    <hyperlink ref="M39" r:id="rId39" location="map=17/-29.75124/31.01204" display="Open map"/>
    <hyperlink ref="M40" r:id="rId40" location="map=17/-29.85579/31.01159" display="Open map"/>
    <hyperlink ref="M41" r:id="rId41" location="map=17/-29.85699/31.01484" display="Open map"/>
    <hyperlink ref="M42" r:id="rId42" location="map=17/-29.8632/31.01513" display="Open map"/>
    <hyperlink ref="M43" r:id="rId43" location="map=17/-29.85772/31.01855" display="Open map"/>
    <hyperlink ref="M44" r:id="rId44" location="map=17/-29.85507/31.01458" display="Open map"/>
    <hyperlink ref="M45" r:id="rId45" location="map=17/-29.86029/31.03445" display="Open map"/>
    <hyperlink ref="M46" r:id="rId46" location="map=17/-29.85973/31.01551" display="Open map"/>
    <hyperlink ref="M47" r:id="rId47" location="map=17/-29.85637/31.0171" display="Open map"/>
    <hyperlink ref="M48" r:id="rId48" location="map=17/-29.86157/31.0182" display="Open map"/>
    <hyperlink ref="M49" r:id="rId49" location="map=17/-29.84614/30.98579" display="Open map"/>
    <hyperlink ref="M50" r:id="rId50" location="map=17/-29.84778/31.03061" display="Open map"/>
    <hyperlink ref="M51" r:id="rId51" location="map=17/-29.84949/31.01373" display="Open map"/>
    <hyperlink ref="M52" r:id="rId52" location="map=17/-29.84365/31.01774" display="Open map"/>
    <hyperlink ref="M53" r:id="rId53" location="map=17/-29.83531/31.00446" display="Open map"/>
    <hyperlink ref="M54" r:id="rId54" location="map=17/-29.82865/31.03404" display="Open map"/>
    <hyperlink ref="M55" r:id="rId55" location="map=17/-29.85117/31.01523" display="Open map"/>
    <hyperlink ref="M56" r:id="rId56" location="map=17/-29.85534/31.02112" display="Open map"/>
    <hyperlink ref="M57" r:id="rId57" location="map=17/-29.85367/31.01241" display="Open map"/>
    <hyperlink ref="M58" r:id="rId58" location="map=17/-29.83958/30.99773" display="Open map"/>
    <hyperlink ref="M59" r:id="rId59" location="map=17/-29.86161/31.01593" display="Open map"/>
    <hyperlink ref="M60" r:id="rId60" location="map=17/-29.81622/30.86471" display="Open map"/>
    <hyperlink ref="M61" r:id="rId61" location="map=17/-29.85174/31.02563" display="Open map"/>
    <hyperlink ref="M62" r:id="rId62" location="map=17/-29.78408/31.03637" display="Open map"/>
    <hyperlink ref="M63" r:id="rId63" location="map=17/-29.85864/31.0111" display="Open map"/>
    <hyperlink ref="M64" r:id="rId64" location="map=17/-29.83454/30.96973" display="Open map"/>
    <hyperlink ref="M65" r:id="rId65" location="map=17/-29.85395/31.00005" display="Open map"/>
    <hyperlink ref="M66" r:id="rId66" location="map=17/-29.85685/30.99455" display="Open map"/>
    <hyperlink ref="M67" r:id="rId67" location="map=17/-29.82603/31.02193" display="Open map"/>
    <hyperlink ref="M68" r:id="rId68" location="map=17/-29.86716/31.00028" display="Open map"/>
    <hyperlink ref="M69" r:id="rId69" location="map=17/-29.87104/31.05247" display="Open map"/>
    <hyperlink ref="M70" r:id="rId70" location="map=17/-29.86391/31.0181" display="Open map"/>
    <hyperlink ref="M71" r:id="rId71" location="map=17/-29.86203/30.96733" display="Open map"/>
    <hyperlink ref="M72" r:id="rId72" location="map=17/-29.82279/31.03263" display="Open map"/>
    <hyperlink ref="M73" r:id="rId73" location="map=17/-29.85878/31.03687" display="Open map"/>
    <hyperlink ref="M74" r:id="rId74" location="map=17/-29.84981/31.01819" display="Open map"/>
    <hyperlink ref="M75" r:id="rId75" location="map=17/-29.83896/31.02086" display="Open map"/>
    <hyperlink ref="M76" r:id="rId76" location="map=17/-29.86204/31.01536" display="Open map"/>
    <hyperlink ref="M77" r:id="rId77" location="map=17/-29.85834/31.01608" display="Open map"/>
    <hyperlink ref="M78" r:id="rId78" location="map=17/-29.84943/31.03698" display="Open map"/>
    <hyperlink ref="M79" r:id="rId79" location="map=17/-29.83494/31.00074" display="Open map"/>
    <hyperlink ref="M80" r:id="rId80" location="map=17/-29.83339/31.01429" display="Open map"/>
    <hyperlink ref="M81" r:id="rId81" location="map=17/-29.84688/31.00481" display="Open map"/>
    <hyperlink ref="M82" r:id="rId82" location="map=17/-29.82548/30.99591" display="Open map"/>
    <hyperlink ref="M83" r:id="rId83" location="map=17/-29.87393/30.98177" display="Open map"/>
    <hyperlink ref="M84" r:id="rId84" location="map=17/-29.83543/31.03122" display="Open map"/>
    <hyperlink ref="M85" r:id="rId85" location="map=17/-29.86031/31.02834" display="Open map"/>
    <hyperlink ref="M86" r:id="rId86" location="map=17/-29.83742/31.02539" display="Open map"/>
    <hyperlink ref="M87" r:id="rId87" location="map=17/-29.81995/31.02349" display="Open map"/>
    <hyperlink ref="M88" r:id="rId88" location="map=17/-29.8809/30.96162" display="Open map"/>
    <hyperlink ref="M89" r:id="rId89" location="map=17/-29.8811/30.98405" display="Open map"/>
    <hyperlink ref="M90" r:id="rId90" location="map=17/-29.84165/31.02967" display="Open map"/>
    <hyperlink ref="M91" r:id="rId91" location="map=17/-29.84847/30.99808" display="Open map"/>
    <hyperlink ref="M92" r:id="rId92" location="map=17/-29.78392/31.0365" display="Open map"/>
    <hyperlink ref="M93" r:id="rId93" location="map=17/-29.84235/31.03229" display="Open map"/>
    <hyperlink ref="M94" r:id="rId94" location="map=17/-29.86984/30.98953" display="Open map"/>
    <hyperlink ref="M95" r:id="rId95" location="map=17/-29.85471/31.00401" display="Open map"/>
    <hyperlink ref="M96" r:id="rId96" location="map=17/-29.84943/31.01786" display="Open map"/>
    <hyperlink ref="M97" r:id="rId97" location="map=17/-29.73762/30.98629" display="Open map"/>
    <hyperlink ref="M98" r:id="rId98" location="map=17/-29.68685/31.02189" display="Open map"/>
    <hyperlink ref="M99" r:id="rId99" location="map=17/-29.6873/31.02191" display="Open map"/>
    <hyperlink ref="M100" r:id="rId100" location="map=17/-29.68697/31.0216" display="Open map"/>
    <hyperlink ref="M101" r:id="rId101" location="map=17/-29.86745/31.01403" display="Open map"/>
    <hyperlink ref="M102" r:id="rId102" location="map=17/-29.68356/31.00382" display="Open map"/>
    <hyperlink ref="M103" r:id="rId103" location="map=17/-33.02311/27.89489" display="Open map"/>
    <hyperlink ref="M104" r:id="rId104" location="map=17/-26.14435/28.27017" display="Open map"/>
    <hyperlink ref="M134" r:id="rId105" location="map=17/-25.64389/30.32725" display="Open map"/>
    <hyperlink ref="M135" r:id="rId106" location="map=17/-33.99026/22.47407" display="Open map"/>
    <hyperlink ref="M136" r:id="rId107" location="map=17/-33.97041/22.46535" display="Open map"/>
    <hyperlink ref="M137" r:id="rId108" location="map=17/-33.96828/22.44777" display="Open map"/>
    <hyperlink ref="M138" r:id="rId109" location="map=17/-33.96549/25.62028" display="Open map"/>
    <hyperlink ref="M139" r:id="rId110" location="map=17/-33.96238/25.62293" display="Open map"/>
    <hyperlink ref="M140" r:id="rId111" location="map=17/-33.96132/25.62123" display="Open map"/>
    <hyperlink ref="M141" r:id="rId112" location="map=17/-33.95761/25.57224" display="Open map"/>
    <hyperlink ref="M142" r:id="rId113" location="map=17/-33.94808/25.58317" display="Open map"/>
    <hyperlink ref="M143" r:id="rId114" location="map=17/-33.9818/25.57938" display="Open map"/>
    <hyperlink ref="M144" r:id="rId115" location="map=17/-29.0573/30.59656" display="Open map"/>
    <hyperlink ref="M145" r:id="rId116" location="map=17/-28.27853/29.19405" display="Open map"/>
    <hyperlink ref="M146" r:id="rId117" location="map=17/-26.50698/28.36684" display="Open map"/>
    <hyperlink ref="M147" r:id="rId118" location="map=17/-26.18989/27.95768" display="Open map"/>
    <hyperlink ref="M148" r:id="rId119" location="map=17/-26.25971/27.94134" display="Open map"/>
    <hyperlink ref="M149" r:id="rId120" location="map=17/-26.10189/28.09359" display="Open map"/>
    <hyperlink ref="M150" r:id="rId121" location="map=17/-26.19052/28.05803" display="Open map"/>
    <hyperlink ref="M151" r:id="rId122" location="map=17/-26.10834/28.10848" display="Open map"/>
    <hyperlink ref="M152" r:id="rId123" location="map=17/-26.10128/27.98692" display="Open map"/>
    <hyperlink ref="M153" r:id="rId124" location="map=17/-26.10684/28.09551" display="Open map"/>
    <hyperlink ref="M154" r:id="rId125" location="map=17/-26.10608/28.08877" display="Open map"/>
    <hyperlink ref="M155" r:id="rId126" location="map=17/-26.05166/28.02127" display="Open map"/>
    <hyperlink ref="M162" r:id="rId127" location="map=17/-26.11259/28.09596" display="Open map"/>
    <hyperlink ref="M163" r:id="rId128" location="map=17/-26.1096/28.05698" display="Open map"/>
    <hyperlink ref="M164" r:id="rId129" location="map=17/-26.23231/28.07428" display="Open map"/>
    <hyperlink ref="M165" r:id="rId130" location="map=17/-26.25758/27.89434" display="Open map"/>
    <hyperlink ref="M166" r:id="rId131" location="map=17/-26.03312/28.07513" display="Open map"/>
    <hyperlink ref="M167" r:id="rId132" location="map=17/-34.03721/23.06484" display="Open map"/>
    <hyperlink ref="M168" r:id="rId133" location="map=17/-29.34054/31.29056" display="Open map"/>
    <hyperlink ref="M169" r:id="rId134" location="map=17/-29.33884/31.29515" display="Open map"/>
    <hyperlink ref="M170" r:id="rId135" location="map=17/-25.76974/29.46311" display="Open map"/>
    <hyperlink ref="M171" r:id="rId136" location="map=17/-25.84064/25.64423" display="Open map"/>
    <hyperlink ref="M172" r:id="rId137" location="map=17/-24.69384/28.41496" display="Open map"/>
    <hyperlink ref="M173" r:id="rId138" location="map=17/-24.69947/28.39507" display="Open map"/>
    <hyperlink ref="M174" r:id="rId139" location="map=17/-24.70269/28.40683" display="Open map"/>
    <hyperlink ref="M175" r:id="rId140" location="map=17/-32.16831/25.61689" display="Open map"/>
    <hyperlink ref="M176" r:id="rId141" location="map=17/-29.65485/30.37752" display="Open map"/>
    <hyperlink ref="M177" r:id="rId142" location="map=17/-29.57979/30.40115" display="Open map"/>
    <hyperlink ref="M178" r:id="rId143" location="map=17/-29.60526/30.38306" display="Open map"/>
    <hyperlink ref="M179" r:id="rId144" location="map=17/-29.57937/30.42583" display="Open map"/>
    <hyperlink ref="M180" r:id="rId145" location="map=17/-29.58513/30.39806" display="Open map"/>
    <hyperlink ref="M181" r:id="rId146" location="map=17/-29.65664/30.38357" display="Open map"/>
    <hyperlink ref="M182" r:id="rId147" location="map=17/-29.58958/30.4312" display="Open map"/>
    <hyperlink ref="M183" r:id="rId148" location="map=17/-29.59792/30.3783" display="Open map"/>
    <hyperlink ref="M184" r:id="rId149" location="map=17/-29.6053/30.37967" display="Open map"/>
    <hyperlink ref="M185" r:id="rId150" location="map=17/-29.60438/30.37818" display="Open map"/>
    <hyperlink ref="M186" r:id="rId151" location="map=17/-29.59282/30.39191" display="Open map"/>
    <hyperlink ref="M187" r:id="rId152" location="map=17/-29.60671/30.32919" display="Open map"/>
    <hyperlink ref="M188" r:id="rId153" location="map=17/-29.61939/30.36695" display="Open map"/>
    <hyperlink ref="M189" r:id="rId154" location="map=17/-29.58569/30.34961" display="Open map"/>
    <hyperlink ref="M190" r:id="rId155" location="map=17/-29.59769/30.3674" display="Open map"/>
    <hyperlink ref="M191" r:id="rId156" location="map=17/-29.63587/30.38329" display="Open map"/>
    <hyperlink ref="M192" r:id="rId157" location="map=17/-29.64816/30.31889" display="Open map"/>
    <hyperlink ref="M193" r:id="rId158" location="map=17/-29.64677/30.36678" display="Open map"/>
    <hyperlink ref="M194" r:id="rId159" location="map=17/-29.61364/30.39163" display="Open map"/>
    <hyperlink ref="M195" r:id="rId160" location="map=17/-29.6336/30.38385" display="Open map"/>
    <hyperlink ref="M196" r:id="rId161" location="map=17/-29.6346/30.37306" display="Open map"/>
    <hyperlink ref="M197" r:id="rId162" location="map=17/-29.60856/30.36827" display="Open map"/>
    <hyperlink ref="M198" r:id="rId163" location="map=17/-26.70066/27.10147" display="Open map"/>
    <hyperlink ref="M199" r:id="rId164" location="map=17/-26.70698/27.09152" display="Open map"/>
    <hyperlink ref="M200" r:id="rId165" location="map=17/-26.72769/27.09314" display="Open map"/>
    <hyperlink ref="M201" r:id="rId166" location="map=17/-26.6943/27.11429" display="Open map"/>
    <hyperlink ref="M202" r:id="rId167" location="map=17/-26.71091/27.09731" display="Open map"/>
    <hyperlink ref="M203" r:id="rId168" location="map=17/-26.71212/27.09532" display="Open map"/>
    <hyperlink ref="M204" r:id="rId169" location="map=17/-26.72106/27.09248" display="Open map"/>
    <hyperlink ref="M205" r:id="rId170" location="map=17/-26.72468/27.09821" display="Open map"/>
    <hyperlink ref="M206" r:id="rId171" location="map=17/-26.69243/27.09479" display="Open map"/>
    <hyperlink ref="M207" r:id="rId172" location="map=17/-26.69277/27.09887" display="Open map"/>
    <hyperlink ref="M208" r:id="rId173" location="map=17/-26.72265/27.09635" display="Open map"/>
    <hyperlink ref="M209" r:id="rId174" location="map=17/-26.7161/27.07675" display="Open map"/>
    <hyperlink ref="M210" r:id="rId175" location="map=17/-26.70364/27.0857" display="Open map"/>
    <hyperlink ref="M211" r:id="rId176" location="map=17/-26.71162/27.06176" display="Open map"/>
    <hyperlink ref="M212" r:id="rId177" location="map=17/-25.75477/28.1597" display="Open map"/>
    <hyperlink ref="M213" r:id="rId178" location="map=17/-25.78244/27.96048" display="Open map"/>
    <hyperlink ref="M214" r:id="rId179" location="map=17/-25.69929/28.17717" display="Open map"/>
    <hyperlink ref="M215" r:id="rId180" location="map=17/-25.78081/28.22758" display="Open map"/>
    <hyperlink ref="M216" r:id="rId181" location="map=17/-25.74939/28.18832" display="Open map"/>
    <hyperlink ref="M217" r:id="rId182" location="map=17/-25.74609/28.19356" display="Open map"/>
    <hyperlink ref="M218" r:id="rId183" location="map=17/-25.7697/28.23524" display="Open map"/>
    <hyperlink ref="M219" r:id="rId184" location="map=17/-25.77395/28.29014" display="Open map"/>
    <hyperlink ref="M220" r:id="rId185" location="map=17/-25.75495/28.18182" display="Open map"/>
    <hyperlink ref="M221" r:id="rId186" location="map=17/-25.71229/28.20311" display="Open map"/>
    <hyperlink ref="M222" r:id="rId187" location="map=17/-25.74297/28.19541" display="Open map"/>
    <hyperlink ref="M223" r:id="rId188" location="map=17/-25.76047/28.21878" display="Open map"/>
    <hyperlink ref="M224" r:id="rId189" location="map=17/-25.76938/28.24602" display="Open map"/>
    <hyperlink ref="M225" r:id="rId190" location="map=17/-25.75106/28.18108" display="Open map"/>
    <hyperlink ref="M226" r:id="rId191" location="map=17/-25.75832/28.19375" display="Open map"/>
    <hyperlink ref="M227" r:id="rId192" location="map=17/-25.74531/28.18306" display="Open map"/>
    <hyperlink ref="M228" r:id="rId193" location="map=17/-25.75039/28.19536" display="Open map"/>
    <hyperlink ref="M229" r:id="rId194" location="map=17/-25.71919/28.21451" display="Open map"/>
    <hyperlink ref="M230" r:id="rId195" location="map=17/-25.75255/28.20397" display="Open map"/>
    <hyperlink ref="M231" r:id="rId196" location="map=17/-25.68105/28.22144" display="Open map"/>
    <hyperlink ref="M232" r:id="rId197" location="map=17/-25.7373/28.19775" display="Open map"/>
    <hyperlink ref="M233" r:id="rId198" location="map=17/-25.81454/28.23801" display="Open map"/>
    <hyperlink ref="M234" r:id="rId199" location="map=17/-25.73882/28.18203" display="Open map"/>
    <hyperlink ref="M235" r:id="rId200" location="map=17/-25.73961/28.26255" display="Open map"/>
    <hyperlink ref="M236" r:id="rId201" location="map=17/-25.70418/28.20024" display="Open map"/>
    <hyperlink ref="M237" r:id="rId202" location="map=17/-25.73502/28.20349" display="Open map"/>
    <hyperlink ref="M238" r:id="rId203" location="map=17/-25.75581/28.20134" display="Open map"/>
    <hyperlink ref="M239" r:id="rId204" location="map=17/-25.73974/28.18995" display="Open map"/>
    <hyperlink ref="M240" r:id="rId205" location="map=17/-25.75345/28.11152" display="Open map"/>
    <hyperlink ref="M243" r:id="rId206" location="map=17/-25.73998/28.19505" display="Open map"/>
    <hyperlink ref="M244" r:id="rId207" location="map=17/-25.7384/28.26717" display="Open map"/>
    <hyperlink ref="M245" r:id="rId208" location="map=17/-25.76049/28.19979" display="Open map"/>
    <hyperlink ref="M246" r:id="rId209" location="map=17/-25.79688/28.4074" display="Open map"/>
    <hyperlink ref="M247" r:id="rId210" location="map=17/-25.75241/28.17553" display="Open map"/>
    <hyperlink ref="M248" r:id="rId211" location="map=17/-25.73772/28.19737" display="Open map"/>
    <hyperlink ref="M249" r:id="rId212" location="map=17/-25.75229/28.20317" display="Open map"/>
    <hyperlink ref="M250" r:id="rId213" location="map=17/-25.81546/28.20797" display="Open map"/>
    <hyperlink ref="M251" r:id="rId214" location="map=17/-33.96449/24.02098" display="Open map"/>
    <hyperlink ref="M252" r:id="rId215" location="map=17/-26.70357/27.82884" display="Open map"/>
    <hyperlink ref="M253" r:id="rId216" location="map=17/-27.36579/29.88609" display="Open map"/>
    <hyperlink ref="M254" r:id="rId217" location="map=17/-33.62954/19.45545" display="Open map"/>
    <hyperlink ref="M255" r:id="rId218" location="map=17/-30.30033/27.07844" display="Open ma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9"/>
  <legacyDrawing r:id="rId22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22" t="s">
        <v>59</v>
      </c>
      <c r="B1" s="22" t="s">
        <v>606</v>
      </c>
    </row>
    <row r="2" customFormat="false" ht="15" hidden="false" customHeight="false" outlineLevel="0" collapsed="false">
      <c r="A2" s="4" t="s">
        <v>607</v>
      </c>
      <c r="B2" s="23" t="s">
        <v>608</v>
      </c>
    </row>
    <row r="3" customFormat="false" ht="15" hidden="false" customHeight="false" outlineLevel="0" collapsed="false">
      <c r="A3" s="4" t="s">
        <v>609</v>
      </c>
      <c r="B3" s="23" t="s">
        <v>610</v>
      </c>
    </row>
    <row r="4" customFormat="false" ht="15" hidden="false" customHeight="false" outlineLevel="0" collapsed="false">
      <c r="A4" s="4" t="s">
        <v>611</v>
      </c>
      <c r="B4" s="23" t="s">
        <v>612</v>
      </c>
    </row>
    <row r="5" customFormat="false" ht="15" hidden="false" customHeight="false" outlineLevel="0" collapsed="false">
      <c r="A5" s="4" t="s">
        <v>613</v>
      </c>
      <c r="B5" s="23" t="s">
        <v>614</v>
      </c>
    </row>
    <row r="6" customFormat="false" ht="15" hidden="false" customHeight="false" outlineLevel="0" collapsed="false">
      <c r="A6" s="4" t="s">
        <v>615</v>
      </c>
      <c r="B6" s="23" t="s">
        <v>616</v>
      </c>
    </row>
    <row r="7" customFormat="false" ht="15" hidden="false" customHeight="false" outlineLevel="0" collapsed="false">
      <c r="A7" s="4" t="s">
        <v>617</v>
      </c>
      <c r="B7" s="23" t="s">
        <v>618</v>
      </c>
    </row>
  </sheetData>
  <hyperlinks>
    <hyperlink ref="B2" r:id="rId1" display="https://www.openstreetmap.org/copyright"/>
    <hyperlink ref="B3" r:id="rId2" display="https://www.sanews.gov.za/south-africa/tshwane-metro-proceed-street-name-changes"/>
    <hyperlink ref="B4" r:id="rId3" display="https://www.theheritageportal.co.za/article/deeper-look-johannesburgs-new-street-names"/>
    <hyperlink ref="B5" r:id="rId4" display="https://businesstech.co.za/news/government/528874/these-44-roads-in-ekurhuleni-are-getting-a-name-change-what-you-need-to-know/"/>
    <hyperlink ref="B6" r:id="rId5" display="https://iol.co.za/news/south-africa/kwazulu-natal/2011-12-01-nine-street-names-to-revert/"/>
    <hyperlink ref="B7" r:id="rId6" display="https://lawlibrary.org.za/akn/za/judgment/zasca/2011/22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2026-10-19T09:37:11Z</dcterms:created>
  <dc:creator>openpyxl</dc:creator>
  <dc:description/>
  <dc:language>en-US</dc:language>
  <cp:lastModifiedBy/>
  <dcterms:modified xsi:type="dcterms:W3CDTF">2026-10-19T09:37:12Z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